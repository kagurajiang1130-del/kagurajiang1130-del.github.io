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96c383c7242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目标" sheetId="1" r:id="R142b67e4cb8d4037"/>
    <x:sheet xmlns:r="http://schemas.openxmlformats.org/officeDocument/2006/relationships" name="市场价格参考" sheetId="2" r:id="Rdaf026da4b1342fb"/>
    <x:sheet xmlns:r="http://schemas.openxmlformats.org/officeDocument/2006/relationships" name="服务测试" sheetId="3" r:id="Rbcc00e2104c84d69"/>
    <x:sheet xmlns:r="http://schemas.openxmlformats.org/officeDocument/2006/relationships" name="线索" sheetId="4" r:id="R9f8b85db7bed4f83"/>
    <x:sheet xmlns:r="http://schemas.openxmlformats.org/officeDocument/2006/relationships" name="报价" sheetId="5" r:id="Rc993e4be9a0e4347"/>
    <x:sheet xmlns:r="http://schemas.openxmlformats.org/officeDocument/2006/relationships" name="项目与利润" sheetId="6" r:id="Rc0aabaacd58e4b0a"/>
    <x:sheet xmlns:r="http://schemas.openxmlformats.org/officeDocument/2006/relationships" name="现金流水" sheetId="7" r:id="Rdbfc9b4ea21a4420"/>
    <x:sheet xmlns:r="http://schemas.openxmlformats.org/officeDocument/2006/relationships" name="周度看板" sheetId="8" r:id="R9d0ce4854eb7417f"/>
    <x:sheet xmlns:r="http://schemas.openxmlformats.org/officeDocument/2006/relationships" name="Checks" sheetId="9" r:id="Rd48c454f5cb0404d"/>
    <x:sheet xmlns:r="http://schemas.openxmlformats.org/officeDocument/2006/relationships" name="目标桥接" sheetId="10" r:id="R5be8a29ed0774fc9"/>
    <x:sheet xmlns:r="http://schemas.openxmlformats.org/officeDocument/2006/relationships" name="O-01单位经济" sheetId="11" r:id="Ra6d51e047769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4">
    <x:numFmt numFmtId="200" formatCode="yyyy-mm-dd"/>
    <x:numFmt numFmtId="201" formatCode="¥#,##0;[Red](¥#,##0);-"/>
    <x:numFmt numFmtId="202" formatCode="0.0000"/>
    <x:numFmt numFmtId="203" formatCode="0.0"/>
    <x:numFmt numFmtId="204" formatCode="0.0%"/>
    <x:numFmt numFmtId="205" formatCode="0"/>
    <x:numFmt numFmtId="206" formatCode="¥#,##0"/>
    <x:numFmt numFmtId="207" formatCode="#,##0.0"/>
    <x:numFmt numFmtId="208" formatCode="#,##0.00;[Red](#,##0.00);-"/>
    <x:numFmt numFmtId="209" formatCode="#,##0;[Red](#,##0);-"/>
    <x:numFmt numFmtId="210" formatCode="#,##0&quot; JPY&quot;"/>
    <x:numFmt numFmtId="211" formatCode="0.00&quot; h&quot;"/>
    <x:numFmt numFmtId="212" formatCode="#,##0&quot; CNY/h&quot;"/>
    <x:numFmt numFmtId="213" formatCode="0.0&quot; h&quot;"/>
  </x:numFmts>
  <x:fonts count="33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F695F"/>
      <x:name val="Carlito"/>
    </x:font>
    <x:font>
      <x:b/>
      <x:sz val="11"/>
      <x:color rgb="FF28251F"/>
      <x:name val="Carlito"/>
    </x:font>
    <x:font>
      <x:sz val="11"/>
      <x:color rgb="FF0000FF"/>
      <x:name val="Carlito"/>
    </x:font>
    <x:font>
      <x:sz val="11"/>
      <x:color rgb="FF6F695F"/>
      <x:name val="Carlito"/>
    </x:font>
    <x:font>
      <x:b/>
      <x:sz val="11"/>
      <x:color rgb="FF2E7D5B"/>
      <x:name val="Carlito"/>
    </x:font>
    <x:font>
      <x:sz val="11"/>
      <x:color rgb="FF28251F"/>
      <x:name val="Carlito"/>
    </x:font>
    <x:font>
      <x:b/>
      <x:sz val="11"/>
      <x:color rgb="FFFFFFFF"/>
      <x:name val="Carlito"/>
    </x:font>
    <x:font>
      <x:sz val="11"/>
      <x:color rgb="FF2E7D5B"/>
      <x:name val="Carlito"/>
    </x:font>
    <x:font>
      <x:b/>
      <x:sz val="15"/>
      <x:color rgb="FF2E7D5B"/>
      <x:name val="Carlito"/>
    </x:font>
    <x:font>
      <x:b/>
      <x:sz val="11"/>
      <x:color rgb="FFC43D3D"/>
      <x:name val="Carlito"/>
    </x:font>
    <x:font>
      <x:b/>
      <x:sz val="20"/>
      <x:color rgb="FFFFFFFF"/>
      <x:name val="Carlito"/>
    </x:font>
    <x:font>
      <x:i/>
      <x:sz val="11"/>
      <x:color rgb="FF655B4E"/>
      <x:name val="Carlito"/>
    </x:font>
    <x:font>
      <x:b/>
      <x:sz val="11"/>
      <x:color rgb="FF000000"/>
      <x:name val="Carlito"/>
    </x:font>
    <x:font>
      <x:sz val="11"/>
      <x:color rgb="FFC43D3D"/>
      <x:name val="Carlito"/>
    </x:font>
    <x:font>
      <x:i/>
      <x:sz val="11"/>
      <x:name val="Carlito"/>
    </x:font>
    <x:font>
      <x:b/>
      <x:sz val="20"/>
      <x:color rgb="FFFFFFFF"/>
      <x:name val="Microsoft YaHei"/>
    </x:font>
    <x:font>
      <x:i/>
      <x:sz val="11"/>
      <x:color rgb="FF655B4E"/>
      <x:name val="Microsoft YaHei"/>
    </x:font>
    <x:font>
      <x:sz val="11"/>
      <x:name val="Microsoft YaHei"/>
    </x:font>
    <x:font>
      <x:b/>
      <x:sz val="11"/>
      <x:color rgb="FF000000"/>
      <x:name val="Microsoft YaHei"/>
    </x:font>
    <x:font>
      <x:b/>
      <x:sz val="11"/>
      <x:color rgb="FFFFFFFF"/>
      <x:name val="Microsoft YaHei"/>
    </x:font>
    <x:font>
      <x:sz val="11"/>
      <x:color rgb="FFC43D3D"/>
      <x:name val="Microsoft YaHei"/>
    </x:font>
    <x:font>
      <x:b/>
      <x:sz val="11"/>
      <x:color rgb="FFC43D3D"/>
      <x:name val="Microsoft YaHei"/>
    </x:font>
    <x:font>
      <x:i/>
      <x:sz val="11"/>
      <x:name val="Microsoft YaHei"/>
    </x:font>
    <x:font>
      <x:sz val="11"/>
      <x:color rgb="FF0000FF"/>
      <x:name val="Microsoft YaHei"/>
    </x:font>
    <x:font>
      <x:b/>
      <x:sz val="11"/>
      <x:name val="Microsoft YaHei"/>
    </x:font>
    <x:font>
      <x:i/>
      <x:sz val="10"/>
      <x:color rgb="FF6B6257"/>
      <x:name val="Carlito"/>
    </x:font>
    <x:font>
      <x:b/>
      <x:sz val="11"/>
      <x:color rgb="FF26231F"/>
      <x:name val="Carlito"/>
    </x:font>
    <x:font>
      <x:sz val="11"/>
      <x:color rgb="FF008000"/>
      <x:name val="Carlito"/>
    </x:font>
    <x:font>
      <x:b/>
      <x:sz val="11"/>
      <x:color rgb="FFC62828"/>
      <x:name val="Carlito"/>
    </x:font>
    <x:font>
      <x:b/>
      <x:sz val="11"/>
      <x:name val="Carlito"/>
    </x:font>
    <x:font>
      <x:sz val="9"/>
      <x:color rgb="FF6B6257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28251F"/>
      </x:patternFill>
    </x:fill>
    <x:fill>
      <x:patternFill patternType="solid">
        <x:fgColor rgb="FFFFF9EA"/>
      </x:patternFill>
    </x:fill>
    <x:fill>
      <x:patternFill patternType="solid">
        <x:fgColor rgb="FFF2C94C"/>
      </x:patternFill>
    </x:fill>
    <x:fill>
      <x:patternFill patternType="solid">
        <x:fgColor rgb="FFFFFCF5"/>
      </x:patternFill>
    </x:fill>
    <x:fill>
      <x:patternFill patternType="solid">
        <x:fgColor rgb="FFFFF4BF"/>
      </x:patternFill>
    </x:fill>
    <x:fill>
      <x:patternFill patternType="solid">
        <x:fgColor rgb="FFFFFFFF"/>
      </x:patternFill>
    </x:fill>
    <x:fill>
      <x:patternFill patternType="solid">
        <x:fgColor rgb="FFDFF3E8"/>
      </x:patternFill>
    </x:fill>
    <x:fill>
      <x:patternFill patternType="solid">
        <x:fgColor rgb="FFFFF2B2"/>
      </x:patternFill>
    </x:fill>
    <x:fill>
      <x:patternFill patternType="solid">
        <x:fgColor rgb="FF25231F"/>
      </x:patternFill>
    </x:fill>
    <x:fill>
      <x:patternFill patternType="solid">
        <x:fgColor rgb="FFFFF8E7"/>
      </x:patternFill>
    </x:fill>
    <x:fill>
      <x:patternFill patternType="solid">
        <x:fgColor rgb="FFF7C948"/>
      </x:patternFill>
    </x:fill>
    <x:fill>
      <x:patternFill patternType="solid">
        <x:fgColor rgb="FFBEE6F4"/>
      </x:patternFill>
    </x:fill>
    <x:fill>
      <x:patternFill patternType="solid">
        <x:fgColor rgb="FFFFFFFF"/>
      </x:patternFill>
    </x:fill>
    <x:fill>
      <x:patternFill patternType="solid">
        <x:fgColor rgb="FFFCE8E6"/>
      </x:patternFill>
    </x:fill>
    <x:fill>
      <x:patternFill patternType="solid">
        <x:fgColor rgb="FF26231F"/>
      </x:patternFill>
    </x:fill>
    <x:fill>
      <x:patternFill patternType="solid">
        <x:fgColor rgb="FFFFF9ED"/>
      </x:patternFill>
    </x:fill>
    <x:fill>
      <x:patternFill patternType="solid">
        <x:fgColor rgb="FFF6C744"/>
      </x:patternFill>
    </x:fill>
    <x:fill>
      <x:patternFill patternType="solid">
        <x:fgColor rgb="FFD7EFF8"/>
      </x:patternFill>
    </x:fill>
    <x:fill>
      <x:patternFill patternType="solid">
        <x:fgColor rgb="FFFFF1B8"/>
      </x:patternFill>
    </x:fill>
    <x:fill>
      <x:patternFill patternType="solid">
        <x:fgColor rgb="FFFCE4E1"/>
      </x:patternFill>
    </x:fill>
    <x:fill>
      <x:patternFill patternType="solid">
        <x:fgColor rgb="FFE3F3E9"/>
      </x:patternFill>
    </x:fill>
  </x:fills>
  <x:borders count="54">
    <x:border/>
    <x:border>
      <x:bottom style="thin">
        <x:color rgb="FFDED7C8"/>
      </x:bottom>
    </x:border>
    <x:border>
      <x:top style="thin">
        <x:color rgb="FFDED7C8"/>
      </x:top>
      <x:bottom style="thin">
        <x:color rgb="FFDED7C8"/>
      </x:bottom>
    </x:border>
    <x:border>
      <x:left style="thin">
        <x:color rgb="FFDED7C8"/>
      </x:left>
      <x:top style="thin">
        <x:color rgb="FFDED7C8"/>
      </x:top>
    </x:border>
    <x:border>
      <x:top style="thin">
        <x:color rgb="FFDED7C8"/>
      </x:top>
    </x:border>
    <x:border>
      <x:right style="thin">
        <x:color rgb="FFDED7C8"/>
      </x:right>
      <x:top style="thin">
        <x:color rgb="FFDED7C8"/>
      </x:top>
    </x:border>
    <x:border>
      <x:left style="thin">
        <x:color rgb="FFDED7C8"/>
      </x:left>
    </x:border>
    <x:border>
      <x:right style="thin">
        <x:color rgb="FFDED7C8"/>
      </x:right>
    </x:border>
    <x:border>
      <x:left style="thin">
        <x:color rgb="FFDED7C8"/>
      </x:left>
      <x:bottom style="thin">
        <x:color rgb="FFDED7C8"/>
      </x:bottom>
    </x:border>
    <x:border>
      <x:right style="thin">
        <x:color rgb="FFDED7C8"/>
      </x:right>
      <x:bottom style="thin">
        <x:color rgb="FFDED7C8"/>
      </x:bottom>
    </x:border>
    <x:border>
      <x:right style="thin">
        <x:color rgb="FF555047"/>
      </x:right>
    </x:border>
    <x:border>
      <x:left style="thin">
        <x:color rgb="FF555047"/>
      </x:left>
      <x:right style="thin">
        <x:color rgb="FF555047"/>
      </x:right>
    </x:border>
    <x:border>
      <x:left style="thin">
        <x:color rgb="FF555047"/>
      </x:left>
    </x:border>
    <x:border>
      <x:left style="thin">
        <x:color rgb="FFF2C94C"/>
      </x:left>
      <x:top style="thin">
        <x:color rgb="FFF2C94C"/>
      </x:top>
    </x:border>
    <x:border>
      <x:top style="thin">
        <x:color rgb="FFF2C94C"/>
      </x:top>
    </x:border>
    <x:border>
      <x:right style="thin">
        <x:color rgb="FFF2C94C"/>
      </x:right>
      <x:top style="thin">
        <x:color rgb="FFF2C94C"/>
      </x:top>
    </x:border>
    <x:border>
      <x:left style="thin">
        <x:color rgb="FFF2C94C"/>
      </x:left>
    </x:border>
    <x:border>
      <x:right style="thin">
        <x:color rgb="FFF2C94C"/>
      </x:right>
    </x:border>
    <x:border>
      <x:left style="thin">
        <x:color rgb="FFF2C94C"/>
      </x:left>
      <x:bottom style="thin">
        <x:color rgb="FFF2C94C"/>
      </x:bottom>
    </x:border>
    <x:border>
      <x:bottom style="thin">
        <x:color rgb="FFF2C94C"/>
      </x:bottom>
    </x:border>
    <x:border>
      <x:right style="thin">
        <x:color rgb="FFF2C94C"/>
      </x:right>
      <x:bottom style="thin">
        <x:color rgb="FFF2C94C"/>
      </x:bottom>
    </x:border>
    <x:border>
      <x:right style="thin">
        <x:color rgb="FFE5D6B4"/>
      </x:right>
      <x:bottom style="thin">
        <x:color rgb="FFE5D6B4"/>
      </x:bottom>
    </x:border>
    <x:border>
      <x:left style="thin">
        <x:color rgb="FFE5D6B4"/>
      </x:left>
      <x:bottom style="thin">
        <x:color rgb="FFE5D6B4"/>
      </x:bottom>
    </x:border>
    <x:border>
      <x:right style="thin">
        <x:color rgb="FFE5D6B4"/>
      </x:right>
      <x:top style="thin">
        <x:color rgb="FFE5D6B4"/>
      </x:top>
      <x:bottom style="thin">
        <x:color rgb="FFE5D6B4"/>
      </x:bottom>
    </x:border>
    <x:border>
      <x:left style="thin">
        <x:color rgb="FFE5D6B4"/>
      </x:left>
      <x:top style="thin">
        <x:color rgb="FFE5D6B4"/>
      </x:top>
      <x:bottom style="thin">
        <x:color rgb="FFE5D6B4"/>
      </x:bottom>
    </x:border>
    <x:border>
      <x:right style="thin">
        <x:color rgb="FFE5D6B4"/>
      </x:right>
      <x:top style="thin">
        <x:color rgb="FFE5D6B4"/>
      </x:top>
    </x:border>
    <x:border>
      <x:left style="thin">
        <x:color rgb="FFE5D6B4"/>
      </x:left>
      <x:top style="thin">
        <x:color rgb="FFE5D6B4"/>
      </x:top>
    </x:border>
    <x:border>
      <x:right style="thin">
        <x:color rgb="FF9FD6EA"/>
      </x:right>
      <x:bottom style="thin">
        <x:color rgb="FF9FD6EA"/>
      </x:bottom>
    </x:border>
    <x:border>
      <x:left style="thin">
        <x:color rgb="FF9FD6EA"/>
      </x:left>
      <x:right style="thin">
        <x:color rgb="FF9FD6EA"/>
      </x:right>
      <x:bottom style="thin">
        <x:color rgb="FF9FD6EA"/>
      </x:bottom>
    </x:border>
    <x:border>
      <x:left style="thin">
        <x:color rgb="FF9FD6EA"/>
      </x:left>
      <x:bottom style="thin">
        <x:color rgb="FF9FD6EA"/>
      </x:bottom>
    </x:border>
    <x:border>
      <x:right style="thin">
        <x:color rgb="FF9FD6EA"/>
      </x:right>
      <x:top style="thin">
        <x:color rgb="FF9FD6EA"/>
      </x:top>
      <x:bottom style="thin">
        <x:color rgb="FF9FD6EA"/>
      </x:bottom>
    </x:border>
    <x:border>
      <x:left style="thin">
        <x:color rgb="FF9FD6EA"/>
      </x:left>
      <x:right style="thin">
        <x:color rgb="FF9FD6EA"/>
      </x:right>
      <x:top style="thin">
        <x:color rgb="FF9FD6EA"/>
      </x:top>
      <x:bottom style="thin">
        <x:color rgb="FF9FD6EA"/>
      </x:bottom>
    </x:border>
    <x:border>
      <x:left style="thin">
        <x:color rgb="FF9FD6EA"/>
      </x:left>
      <x:top style="thin">
        <x:color rgb="FF9FD6EA"/>
      </x:top>
      <x:bottom style="thin">
        <x:color rgb="FF9FD6EA"/>
      </x:bottom>
    </x:border>
    <x:border>
      <x:right style="thin">
        <x:color rgb="FF9FD6EA"/>
      </x:right>
      <x:top style="thin">
        <x:color rgb="FF9FD6EA"/>
      </x:top>
    </x:border>
    <x:border>
      <x:left style="thin">
        <x:color rgb="FF9FD6EA"/>
      </x:left>
      <x:right style="thin">
        <x:color rgb="FF9FD6EA"/>
      </x:right>
      <x:top style="thin">
        <x:color rgb="FF9FD6EA"/>
      </x:top>
    </x:border>
    <x:border>
      <x:left style="thin">
        <x:color rgb="FF9FD6EA"/>
      </x:left>
      <x:top style="thin">
        <x:color rgb="FF9FD6EA"/>
      </x:top>
    </x:border>
    <x:border>
      <x:left style="thin">
        <x:color rgb="FFE5D6B4"/>
      </x:left>
      <x:right style="thin">
        <x:color rgb="FFE5D6B4"/>
      </x:right>
      <x:bottom style="thin">
        <x:color rgb="FFE5D6B4"/>
      </x:bottom>
    </x:border>
    <x:border>
      <x:left style="thin">
        <x:color rgb="FFE5D6B4"/>
      </x:left>
      <x:right style="thin">
        <x:color rgb="FFE5D6B4"/>
      </x:right>
      <x:top style="thin">
        <x:color rgb="FFE5D6B4"/>
      </x:top>
      <x:bottom style="thin">
        <x:color rgb="FFE5D6B4"/>
      </x:bottom>
    </x:border>
    <x:border>
      <x:left style="thin">
        <x:color rgb="FFE5D6B4"/>
      </x:left>
      <x:right style="thin">
        <x:color rgb="FFE5D6B4"/>
      </x:right>
      <x:top style="thin">
        <x:color rgb="FFE5D6B4"/>
      </x:top>
    </x:border>
    <x:border>
      <x:left style="medium">
        <x:color rgb="FFC43D3D"/>
      </x:left>
      <x:top style="medium">
        <x:color rgb="FFC43D3D"/>
      </x:top>
      <x:bottom style="medium">
        <x:color rgb="FFC43D3D"/>
      </x:bottom>
    </x:border>
    <x:border>
      <x:top style="medium">
        <x:color rgb="FFC43D3D"/>
      </x:top>
      <x:bottom style="medium">
        <x:color rgb="FFC43D3D"/>
      </x:bottom>
    </x:border>
    <x:border>
      <x:right style="medium">
        <x:color rgb="FFC43D3D"/>
      </x:right>
      <x:top style="medium">
        <x:color rgb="FFC43D3D"/>
      </x:top>
      <x:bottom style="medium">
        <x:color rgb="FFC43D3D"/>
      </x:bottom>
    </x:border>
    <x:border>
      <x:right style="thin">
        <x:color rgb="FF9FD6EA"/>
      </x:right>
    </x:border>
    <x:border>
      <x:left style="thin">
        <x:color rgb="FF9FD6EA"/>
      </x:left>
      <x:right style="thin">
        <x:color rgb="FF9FD6EA"/>
      </x:right>
    </x:border>
    <x:border>
      <x:left style="thin">
        <x:color rgb="FF9FD6EA"/>
      </x:left>
    </x:border>
    <x:border>
      <x:right style="thin">
        <x:color rgb="FFD8CDB9"/>
      </x:right>
      <x:bottom style="thin">
        <x:color rgb="FFD8CDB9"/>
      </x:bottom>
    </x:border>
    <x:border>
      <x:left style="thin">
        <x:color rgb="FFD8CDB9"/>
      </x:left>
      <x:right style="thin">
        <x:color rgb="FFD8CDB9"/>
      </x:right>
      <x:bottom style="thin">
        <x:color rgb="FFD8CDB9"/>
      </x:bottom>
    </x:border>
    <x:border>
      <x:left style="thin">
        <x:color rgb="FFD8CDB9"/>
      </x:left>
      <x:bottom style="thin">
        <x:color rgb="FFD8CDB9"/>
      </x:bottom>
    </x:border>
    <x:border>
      <x:right style="thin">
        <x:color rgb="FFD8CDB9"/>
      </x:right>
      <x:top style="thin">
        <x:color rgb="FFD8CDB9"/>
      </x:top>
      <x:bottom style="thin">
        <x:color rgb="FFD8CDB9"/>
      </x:bottom>
    </x:border>
    <x:border>
      <x:left style="thin">
        <x:color rgb="FFD8CDB9"/>
      </x:left>
      <x:right style="thin">
        <x:color rgb="FFD8CDB9"/>
      </x:right>
      <x:top style="thin">
        <x:color rgb="FFD8CDB9"/>
      </x:top>
      <x:bottom style="thin">
        <x:color rgb="FFD8CDB9"/>
      </x:bottom>
    </x:border>
    <x:border>
      <x:left style="thin">
        <x:color rgb="FFD8CDB9"/>
      </x:left>
      <x:top style="thin">
        <x:color rgb="FFD8CDB9"/>
      </x:top>
      <x:bottom style="thin">
        <x:color rgb="FFD8CDB9"/>
      </x:bottom>
    </x:border>
    <x:border>
      <x:right style="thin">
        <x:color rgb="FFD8CDB9"/>
      </x:right>
      <x:top style="thin">
        <x:color rgb="FFD8CDB9"/>
      </x:top>
    </x:border>
    <x:border>
      <x:left style="thin">
        <x:color rgb="FFD8CDB9"/>
      </x:left>
      <x:right style="thin">
        <x:color rgb="FFD8CDB9"/>
      </x:right>
      <x:top style="thin">
        <x:color rgb="FFD8CDB9"/>
      </x:top>
    </x:border>
    <x:border>
      <x:left style="thin">
        <x:color rgb="FFD8CDB9"/>
      </x:left>
      <x:top style="thin">
        <x:color rgb="FFD8CDB9"/>
      </x:top>
    </x:border>
  </x:borders>
  <x:cellStyleXfs count="1">
    <x:xf numFmtId="0" fontId="0" fillId="0" borderId="0"/>
  </x:cellStyleXfs>
  <x:cellXfs count="6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4" fillId="6" borderId="0" xfId="0" applyNumberFormat="1" applyFont="1" applyFill="1" applyBorder="1"/>
    <x:xf numFmtId="201" fontId="4" fillId="6" borderId="0" xfId="0" applyNumberFormat="1" applyFont="1" applyFill="1" applyBorder="1"/>
    <x:xf numFmtId="202" fontId="4" fillId="6" borderId="0" xfId="0" applyNumberFormat="1" applyFont="1" applyFill="1" applyBorder="1"/>
    <x:xf numFmtId="203" fontId="4" fillId="6" borderId="0" xfId="0" applyNumberFormat="1" applyFont="1" applyFill="1" applyBorder="1"/>
    <x:xf numFmtId="0" fontId="3" fillId="5" borderId="1" xfId="0" applyNumberFormat="1" applyFont="1" applyFill="1" applyBorder="1"/>
    <x:xf numFmtId="0" fontId="4" fillId="6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/>
    <x:xf numFmtId="200" fontId="4" fillId="6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201" fontId="4" fillId="6" borderId="2" xfId="0" applyNumberFormat="1" applyFont="1" applyFill="1" applyBorder="1"/>
    <x:xf numFmtId="0" fontId="4" fillId="6" borderId="2" xfId="0" applyNumberFormat="1" applyFont="1" applyFill="1" applyBorder="1"/>
    <x:xf numFmtId="202" fontId="4" fillId="6" borderId="2" xfId="0" applyNumberFormat="1" applyFont="1" applyFill="1" applyBorder="1"/>
    <x:xf numFmtId="203" fontId="4" fillId="6" borderId="2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201" fontId="6" fillId="7" borderId="0" xfId="0" applyNumberFormat="1" applyFont="1" applyFill="1" applyBorder="1"/>
    <x:xf numFmtId="204" fontId="6" fillId="7" borderId="0" xfId="0" applyNumberFormat="1" applyFont="1" applyFill="1" applyBorder="1"/>
    <x:xf numFmtId="205" fontId="6" fillId="7" borderId="0" xfId="0" applyNumberFormat="1" applyFont="1" applyFill="1" applyBorder="1"/>
    <x:xf numFmtId="201" fontId="6" fillId="7" borderId="1" xfId="0" applyNumberFormat="1" applyFont="1" applyFill="1" applyBorder="1"/>
    <x:xf numFmtId="201" fontId="6" fillId="7" borderId="2" xfId="0" applyNumberFormat="1" applyFont="1" applyFill="1" applyBorder="1"/>
    <x:xf numFmtId="204" fontId="6" fillId="7" borderId="2" xfId="0" applyNumberFormat="1" applyFont="1" applyFill="1" applyBorder="1"/>
    <x:xf numFmtId="205" fontId="6" fillId="7" borderId="2" xfId="0" applyNumberFormat="1" applyFont="1" applyFill="1" applyBorder="1"/>
    <x:xf numFmtId="0" fontId="7" fillId="3" borderId="0" xfId="0" applyNumberFormat="1" applyFont="1" applyFill="1" applyBorder="1"/>
    <x:xf numFmtId="0" fontId="7" fillId="3" borderId="3" xfId="0" applyNumberFormat="1" applyFont="1" applyFill="1" applyBorder="1"/>
    <x:xf numFmtId="0" fontId="7" fillId="3" borderId="4" xfId="0" applyNumberFormat="1" applyFont="1" applyFill="1" applyBorder="1"/>
    <x:xf numFmtId="0" fontId="7" fillId="3" borderId="5" xfId="0" applyNumberFormat="1" applyFont="1" applyFill="1" applyBorder="1"/>
    <x:xf numFmtId="0" fontId="7" fillId="3" borderId="6" xfId="0" applyNumberFormat="1" applyFont="1" applyFill="1" applyBorder="1"/>
    <x:xf numFmtId="0" fontId="7" fillId="3" borderId="7" xfId="0" applyNumberFormat="1" applyFont="1" applyFill="1" applyBorder="1"/>
    <x:xf numFmtId="0" fontId="7" fillId="3" borderId="8" xfId="0" applyNumberFormat="1" applyFont="1" applyFill="1" applyBorder="1"/>
    <x:xf numFmtId="0" fontId="7" fillId="3" borderId="1" xfId="0" applyNumberFormat="1" applyFont="1" applyFill="1" applyBorder="1"/>
    <x:xf numFmtId="0" fontId="7" fillId="3" borderId="9" xfId="0" applyNumberFormat="1" applyFont="1" applyFill="1" applyBorder="1"/>
    <x:xf numFmtId="0" fontId="7" fillId="3" borderId="3" xfId="0" applyNumberFormat="1" applyFont="1" applyFill="1" applyBorder="1" applyAlignment="1">
      <x:alignment wrapText="1"/>
    </x:xf>
    <x:xf numFmtId="0" fontId="7" fillId="3" borderId="4" xfId="0" applyNumberFormat="1" applyFont="1" applyFill="1" applyBorder="1" applyAlignment="1">
      <x:alignment wrapText="1"/>
    </x:xf>
    <x:xf numFmtId="0" fontId="7" fillId="3" borderId="5" xfId="0" applyNumberFormat="1" applyFont="1" applyFill="1" applyBorder="1" applyAlignment="1">
      <x:alignment wrapText="1"/>
    </x:xf>
    <x:xf numFmtId="0" fontId="7" fillId="3" borderId="6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7" xfId="0" applyNumberFormat="1" applyFont="1" applyFill="1" applyBorder="1" applyAlignment="1">
      <x:alignment wrapText="1"/>
    </x:xf>
    <x:xf numFmtId="0" fontId="7" fillId="3" borderId="8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7" fillId="3" borderId="9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3" borderId="8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7" fillId="3" borderId="9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10" xfId="0" applyNumberFormat="1" applyFont="1" applyFill="1" applyBorder="1"/>
    <x:xf numFmtId="0" fontId="8" fillId="2" borderId="11" xfId="0" applyNumberFormat="1" applyFont="1" applyFill="1" applyBorder="1"/>
    <x:xf numFmtId="0" fontId="8" fillId="2" borderId="12" xfId="0" applyNumberFormat="1" applyFont="1" applyFill="1" applyBorder="1"/>
    <x:xf numFmtId="0" fontId="8" fillId="2" borderId="10" xfId="0" applyNumberFormat="1" applyFont="1" applyFill="1" applyBorder="1" applyAlignment="1">
      <x:alignment wrapText="1"/>
    </x:xf>
    <x:xf numFmtId="0" fontId="8" fillId="2" borderId="11" xfId="0" applyNumberFormat="1" applyFont="1" applyFill="1" applyBorder="1" applyAlignment="1">
      <x:alignment wrapText="1"/>
    </x:xf>
    <x:xf numFmtId="0" fontId="8" fillId="2" borderId="12" xfId="0" applyNumberFormat="1" applyFont="1" applyFill="1" applyBorder="1" applyAlignment="1">
      <x:alignment wrapText="1"/>
    </x:xf>
    <x:xf numFmtId="0" fontId="8" fillId="2" borderId="10" xfId="0" applyNumberFormat="1" applyFont="1" applyFill="1" applyBorder="1" applyAlignment="1">
      <x:alignment horizontal="center" wrapText="1"/>
    </x:xf>
    <x:xf numFmtId="0" fontId="8" fillId="2" borderId="11" xfId="0" applyNumberFormat="1" applyFont="1" applyFill="1" applyBorder="1" applyAlignment="1">
      <x:alignment horizontal="center" wrapText="1"/>
    </x:xf>
    <x:xf numFmtId="0" fontId="8" fillId="2" borderId="12" xfId="0" applyNumberFormat="1" applyFont="1" applyFill="1" applyBorder="1" applyAlignment="1">
      <x:alignment horizontal="center" wrapText="1"/>
    </x:xf>
    <x:xf numFmtId="0" fontId="8" fillId="2" borderId="10" xfId="0" applyNumberFormat="1" applyFont="1" applyFill="1" applyBorder="1" applyAlignment="1">
      <x:alignment horizontal="center" vertical="center" wrapText="1"/>
    </x:xf>
    <x:xf numFmtId="0" fontId="8" fillId="2" borderId="11" xfId="0" applyNumberFormat="1" applyFont="1" applyFill="1" applyBorder="1" applyAlignment="1">
      <x:alignment horizontal="center" vertical="center" wrapText="1"/>
    </x:xf>
    <x:xf numFmtId="0" fontId="8" fillId="2" borderId="12" xfId="0" applyNumberFormat="1" applyFont="1" applyFill="1" applyBorder="1" applyAlignment="1">
      <x:alignment horizontal="center" vertical="center" wrapText="1"/>
    </x:xf>
    <x:xf numFmtId="206" fontId="0" fillId="0" borderId="0" xfId="0" applyNumberFormat="1" applyFont="1" applyFill="1" applyBorder="1"/>
    <x:xf numFmtId="200" fontId="0" fillId="0" borderId="0" xfId="0" applyNumberFormat="1" applyFont="1" applyFill="1" applyBorder="1"/>
    <x:xf numFmtId="206" fontId="9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18" xfId="0" applyNumberFormat="1" applyFont="1" applyFill="1" applyBorder="1"/>
    <x:xf numFmtId="0" fontId="4" fillId="6" borderId="19" xfId="0" applyNumberFormat="1" applyFont="1" applyFill="1" applyBorder="1"/>
    <x:xf numFmtId="0" fontId="4" fillId="6" borderId="20" xfId="0" applyNumberFormat="1" applyFont="1" applyFill="1" applyBorder="1"/>
    <x:xf numFmtId="0" fontId="9" fillId="0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206" fontId="4" fillId="6" borderId="15" xfId="0" applyNumberFormat="1" applyFont="1" applyFill="1" applyBorder="1"/>
    <x:xf numFmtId="206" fontId="4" fillId="6" borderId="17" xfId="0" applyNumberFormat="1" applyFont="1" applyFill="1" applyBorder="1"/>
    <x:xf numFmtId="206" fontId="4" fillId="6" borderId="20" xfId="0" applyNumberFormat="1" applyFont="1" applyFill="1" applyBorder="1"/>
    <x:xf numFmtId="207" fontId="4" fillId="6" borderId="13" xfId="0" applyNumberFormat="1" applyFont="1" applyFill="1" applyBorder="1"/>
    <x:xf numFmtId="207" fontId="4" fillId="6" borderId="14" xfId="0" applyNumberFormat="1" applyFont="1" applyFill="1" applyBorder="1"/>
    <x:xf numFmtId="207" fontId="4" fillId="6" borderId="16" xfId="0" applyNumberFormat="1" applyFont="1" applyFill="1" applyBorder="1"/>
    <x:xf numFmtId="207" fontId="4" fillId="6" borderId="0" xfId="0" applyNumberFormat="1" applyFont="1" applyFill="1" applyBorder="1"/>
    <x:xf numFmtId="207" fontId="4" fillId="6" borderId="18" xfId="0" applyNumberFormat="1" applyFont="1" applyFill="1" applyBorder="1"/>
    <x:xf numFmtId="207" fontId="4" fillId="6" borderId="19" xfId="0" applyNumberFormat="1" applyFont="1" applyFill="1" applyBorder="1"/>
    <x:xf numFmtId="204" fontId="4" fillId="6" borderId="15" xfId="0" applyNumberFormat="1" applyFont="1" applyFill="1" applyBorder="1"/>
    <x:xf numFmtId="204" fontId="4" fillId="6" borderId="17" xfId="0" applyNumberFormat="1" applyFont="1" applyFill="1" applyBorder="1"/>
    <x:xf numFmtId="204" fontId="4" fillId="6" borderId="20" xfId="0" applyNumberFormat="1" applyFont="1" applyFill="1" applyBorder="1"/>
    <x:xf numFmtId="201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201" fontId="4" fillId="0" borderId="0" xfId="0" applyNumberFormat="1" applyFont="1" applyFill="1" applyBorder="1"/>
    <x:xf numFmtId="204" fontId="4" fillId="0" borderId="0" xfId="0" applyNumberFormat="1" applyFont="1" applyFill="1" applyBorder="1"/>
    <x:xf numFmtId="201" fontId="9" fillId="0" borderId="0" xfId="0" applyNumberFormat="1" applyFont="1" applyFill="1" applyBorder="1"/>
    <x:xf numFmtId="201" fontId="7" fillId="0" borderId="0" xfId="0" applyNumberFormat="1" applyFont="1" applyFill="1" applyBorder="1"/>
    <x:xf numFmtId="204" fontId="7" fillId="0" borderId="0" xfId="0" applyNumberFormat="1" applyFont="1" applyFill="1" applyBorder="1"/>
    <x:xf numFmtId="203" fontId="0" fillId="0" borderId="0" xfId="0" applyNumberFormat="1" applyFont="1" applyFill="1" applyBorder="1"/>
    <x:xf numFmtId="203" fontId="4" fillId="0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  <x:xf numFmtId="0" fontId="10" fillId="5" borderId="3" xfId="0" applyNumberFormat="1" applyFont="1" applyFill="1" applyBorder="1"/>
    <x:xf numFmtId="0" fontId="10" fillId="5" borderId="5" xfId="0" applyNumberFormat="1" applyFont="1" applyFill="1" applyBorder="1"/>
    <x:xf numFmtId="0" fontId="10" fillId="5" borderId="8" xfId="0" applyNumberFormat="1" applyFont="1" applyFill="1" applyBorder="1"/>
    <x:xf numFmtId="0" fontId="10" fillId="5" borderId="9" xfId="0" applyNumberFormat="1" applyFont="1" applyFill="1" applyBorder="1"/>
    <x:xf numFmtId="0" fontId="10" fillId="5" borderId="3" xfId="0" applyNumberFormat="1" applyFont="1" applyFill="1" applyBorder="1" applyAlignment="1">
      <x:alignment horizontal="center"/>
    </x:xf>
    <x:xf numFmtId="0" fontId="10" fillId="5" borderId="5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0" fillId="5" borderId="9" xfId="0" applyNumberFormat="1" applyFont="1" applyFill="1" applyBorder="1" applyAlignment="1">
      <x:alignment horizontal="center"/>
    </x:xf>
    <x:xf numFmtId="0" fontId="10" fillId="5" borderId="3" xfId="0" applyNumberFormat="1" applyFont="1" applyFill="1" applyBorder="1" applyAlignment="1">
      <x:alignment horizontal="center" vertical="center"/>
    </x:xf>
    <x:xf numFmtId="0" fontId="10" fillId="5" borderId="5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0" fillId="5" borderId="9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/>
    <x:xf numFmtId="0" fontId="10" fillId="6" borderId="3" xfId="0" applyNumberFormat="1" applyFont="1" applyFill="1" applyBorder="1"/>
    <x:xf numFmtId="0" fontId="10" fillId="6" borderId="5" xfId="0" applyNumberFormat="1" applyFont="1" applyFill="1" applyBorder="1"/>
    <x:xf numFmtId="0" fontId="10" fillId="6" borderId="8" xfId="0" applyNumberFormat="1" applyFont="1" applyFill="1" applyBorder="1"/>
    <x:xf numFmtId="0" fontId="10" fillId="6" borderId="9" xfId="0" applyNumberFormat="1" applyFont="1" applyFill="1" applyBorder="1"/>
    <x:xf numFmtId="0" fontId="10" fillId="6" borderId="3" xfId="0" applyNumberFormat="1" applyFont="1" applyFill="1" applyBorder="1" applyAlignment="1">
      <x:alignment horizontal="center"/>
    </x:xf>
    <x:xf numFmtId="0" fontId="10" fillId="6" borderId="5" xfId="0" applyNumberFormat="1" applyFont="1" applyFill="1" applyBorder="1" applyAlignment="1">
      <x:alignment horizontal="center"/>
    </x:xf>
    <x:xf numFmtId="0" fontId="10" fillId="6" borderId="8" xfId="0" applyNumberFormat="1" applyFont="1" applyFill="1" applyBorder="1" applyAlignment="1">
      <x:alignment horizontal="center"/>
    </x:xf>
    <x:xf numFmtId="0" fontId="10" fillId="6" borderId="9" xfId="0" applyNumberFormat="1" applyFont="1" applyFill="1" applyBorder="1" applyAlignment="1">
      <x:alignment horizontal="center"/>
    </x:xf>
    <x:xf numFmtId="0" fontId="10" fillId="6" borderId="3" xfId="0" applyNumberFormat="1" applyFont="1" applyFill="1" applyBorder="1" applyAlignment="1">
      <x:alignment horizontal="center" vertical="center"/>
    </x:xf>
    <x:xf numFmtId="0" fontId="10" fillId="6" borderId="5" xfId="0" applyNumberFormat="1" applyFont="1" applyFill="1" applyBorder="1" applyAlignment="1">
      <x:alignment horizontal="center" vertical="center"/>
    </x:xf>
    <x:xf numFmtId="0" fontId="10" fillId="6" borderId="8" xfId="0" applyNumberFormat="1" applyFont="1" applyFill="1" applyBorder="1" applyAlignment="1">
      <x:alignment horizontal="center" vertical="center"/>
    </x:xf>
    <x:xf numFmtId="0" fontId="10" fillId="6" borderId="9" xfId="0" applyNumberFormat="1" applyFont="1" applyFill="1" applyBorder="1" applyAlignment="1">
      <x:alignment horizontal="center" vertical="center"/>
    </x:xf>
    <x:xf numFmtId="201" fontId="10" fillId="5" borderId="3" xfId="0" applyNumberFormat="1" applyFont="1" applyFill="1" applyBorder="1" applyAlignment="1">
      <x:alignment horizontal="center" vertical="center"/>
    </x:xf>
    <x:xf numFmtId="201" fontId="10" fillId="5" borderId="5" xfId="0" applyNumberFormat="1" applyFont="1" applyFill="1" applyBorder="1" applyAlignment="1">
      <x:alignment horizontal="center" vertical="center"/>
    </x:xf>
    <x:xf numFmtId="201" fontId="10" fillId="5" borderId="8" xfId="0" applyNumberFormat="1" applyFont="1" applyFill="1" applyBorder="1" applyAlignment="1">
      <x:alignment horizontal="center" vertical="center"/>
    </x:xf>
    <x:xf numFmtId="201" fontId="10" fillId="5" borderId="9" xfId="0" applyNumberFormat="1" applyFont="1" applyFill="1" applyBorder="1" applyAlignment="1">
      <x:alignment horizontal="center" vertical="center"/>
    </x:xf>
    <x:xf numFmtId="204" fontId="10" fillId="6" borderId="3" xfId="0" applyNumberFormat="1" applyFont="1" applyFill="1" applyBorder="1" applyAlignment="1">
      <x:alignment horizontal="center" vertical="center"/>
    </x:xf>
    <x:xf numFmtId="204" fontId="10" fillId="6" borderId="5" xfId="0" applyNumberFormat="1" applyFont="1" applyFill="1" applyBorder="1" applyAlignment="1">
      <x:alignment horizontal="center" vertical="center"/>
    </x:xf>
    <x:xf numFmtId="204" fontId="10" fillId="6" borderId="8" xfId="0" applyNumberFormat="1" applyFont="1" applyFill="1" applyBorder="1" applyAlignment="1">
      <x:alignment horizontal="center" vertical="center"/>
    </x:xf>
    <x:xf numFmtId="204" fontId="10" fillId="6" borderId="9" xfId="0" applyNumberFormat="1" applyFont="1" applyFill="1" applyBorder="1" applyAlignment="1">
      <x:alignment horizontal="center" vertical="center"/>
    </x:xf>
    <x:xf numFmtId="205" fontId="10" fillId="5" borderId="3" xfId="0" applyNumberFormat="1" applyFont="1" applyFill="1" applyBorder="1" applyAlignment="1">
      <x:alignment horizontal="center" vertical="center"/>
    </x:xf>
    <x:xf numFmtId="205" fontId="10" fillId="5" borderId="5" xfId="0" applyNumberFormat="1" applyFont="1" applyFill="1" applyBorder="1" applyAlignment="1">
      <x:alignment horizontal="center" vertical="center"/>
    </x:xf>
    <x:xf numFmtId="205" fontId="10" fillId="5" borderId="8" xfId="0" applyNumberFormat="1" applyFont="1" applyFill="1" applyBorder="1" applyAlignment="1">
      <x:alignment horizontal="center" vertical="center"/>
    </x:xf>
    <x:xf numFmtId="205" fontId="10" fillId="5" borderId="9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/>
    <x:xf numFmtId="205" fontId="9" fillId="0" borderId="0" xfId="0" applyNumberFormat="1" applyFont="1" applyFill="1" applyBorder="1"/>
    <x:xf numFmtId="204" fontId="9" fillId="0" borderId="0" xfId="0" applyNumberFormat="1" applyFont="1" applyFill="1" applyBorder="1"/>
    <x:xf numFmtId="0" fontId="0" fillId="0" borderId="1" xfId="0" applyNumberFormat="1" applyFont="1" applyFill="1" applyBorder="1"/>
    <x:xf numFmtId="205" fontId="9" fillId="0" borderId="1" xfId="0" applyNumberFormat="1" applyFont="1" applyFill="1" applyBorder="1"/>
    <x:xf numFmtId="0" fontId="9" fillId="0" borderId="1" xfId="0" applyNumberFormat="1" applyFont="1" applyFill="1" applyBorder="1"/>
    <x:xf numFmtId="0" fontId="0" fillId="0" borderId="2" xfId="0" applyNumberFormat="1" applyFont="1" applyFill="1" applyBorder="1"/>
    <x:xf numFmtId="205" fontId="9" fillId="0" borderId="2" xfId="0" applyNumberFormat="1" applyFont="1" applyFill="1" applyBorder="1"/>
    <x:xf numFmtId="204" fontId="9" fillId="0" borderId="2" xfId="0" applyNumberFormat="1" applyFont="1" applyFill="1" applyBorder="1"/>
    <x:xf numFmtId="208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201" fontId="6" fillId="7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200" fontId="4" fillId="6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 wrapText="1"/>
    </x:xf>
    <x:xf numFmtId="201" fontId="6" fillId="7" borderId="2" xfId="0" applyNumberFormat="1" applyFont="1" applyFill="1" applyBorder="1" applyAlignment="1">
      <x:alignment vertical="center"/>
    </x:xf>
    <x:xf numFmtId="201" fontId="4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204" fontId="6" fillId="7" borderId="2" xfId="0" applyNumberFormat="1" applyFont="1" applyFill="1" applyBorder="1" applyAlignment="1">
      <x:alignment vertical="center"/>
    </x:xf>
    <x:xf numFmtId="202" fontId="4" fillId="6" borderId="2" xfId="0" applyNumberFormat="1" applyFont="1" applyFill="1" applyBorder="1" applyAlignment="1">
      <x:alignment vertical="center"/>
    </x:xf>
    <x:xf numFmtId="205" fontId="6" fillId="7" borderId="2" xfId="0" applyNumberFormat="1" applyFont="1" applyFill="1" applyBorder="1" applyAlignment="1">
      <x:alignment vertical="center"/>
    </x:xf>
    <x:xf numFmtId="0" fontId="7" fillId="3" borderId="3" xfId="0" applyNumberFormat="1" applyFont="1" applyFill="1" applyBorder="1" applyAlignment="1">
      <x:alignment vertical="center" wrapText="1"/>
    </x:xf>
    <x:xf numFmtId="0" fontId="7" fillId="3" borderId="4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203" fontId="4" fillId="6" borderId="2" xfId="0" applyNumberFormat="1" applyFont="1" applyFill="1" applyBorder="1" applyAlignment="1">
      <x:alignment vertical="center"/>
    </x:xf>
    <x:xf numFmtId="0" fontId="7" fillId="3" borderId="6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7" xfId="0" applyNumberFormat="1" applyFont="1" applyFill="1" applyBorder="1" applyAlignment="1">
      <x:alignment vertical="center" wrapText="1"/>
    </x:xf>
    <x:xf numFmtId="0" fontId="7" fillId="3" borderId="8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7" fillId="3" borderId="9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 applyAlignment="1">
      <x:alignment vertical="center"/>
    </x:xf>
    <x:xf numFmtId="206" fontId="9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/>
    </x:xf>
    <x:xf numFmtId="0" fontId="4" fillId="6" borderId="14" xfId="0" applyNumberFormat="1" applyFont="1" applyFill="1" applyBorder="1" applyAlignment="1">
      <x:alignment vertical="center"/>
    </x:xf>
    <x:xf numFmtId="206" fontId="4" fillId="6" borderId="15" xfId="0" applyNumberFormat="1" applyFont="1" applyFill="1" applyBorder="1" applyAlignment="1">
      <x:alignment vertical="center"/>
    </x:xf>
    <x:xf numFmtId="207" fontId="4" fillId="6" borderId="13" xfId="0" applyNumberFormat="1" applyFont="1" applyFill="1" applyBorder="1" applyAlignment="1">
      <x:alignment vertical="center"/>
    </x:xf>
    <x:xf numFmtId="207" fontId="4" fillId="6" borderId="14" xfId="0" applyNumberFormat="1" applyFont="1" applyFill="1" applyBorder="1" applyAlignment="1">
      <x:alignment vertical="center"/>
    </x:xf>
    <x:xf numFmtId="204" fontId="4" fillId="6" borderId="15" xfId="0" applyNumberFormat="1" applyFont="1" applyFill="1" applyBorder="1" applyAlignment="1">
      <x:alignment vertical="center"/>
    </x:xf>
    <x:xf numFmtId="201" fontId="9" fillId="8" borderId="0" xfId="0" applyNumberFormat="1" applyFont="1" applyFill="1" applyBorder="1" applyAlignment="1">
      <x:alignment vertical="center"/>
    </x:xf>
    <x:xf numFmtId="204" fontId="9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6" fontId="4" fillId="6" borderId="17" xfId="0" applyNumberFormat="1" applyFont="1" applyFill="1" applyBorder="1" applyAlignment="1">
      <x:alignment vertical="center"/>
    </x:xf>
    <x:xf numFmtId="207" fontId="4" fillId="6" borderId="16" xfId="0" applyNumberFormat="1" applyFont="1" applyFill="1" applyBorder="1" applyAlignment="1">
      <x:alignment vertical="center"/>
    </x:xf>
    <x:xf numFmtId="207" fontId="4" fillId="6" borderId="0" xfId="0" applyNumberFormat="1" applyFont="1" applyFill="1" applyBorder="1" applyAlignment="1">
      <x:alignment vertical="center"/>
    </x:xf>
    <x:xf numFmtId="204" fontId="4" fillId="6" borderId="17" xfId="0" applyNumberFormat="1" applyFont="1" applyFill="1" applyBorder="1" applyAlignment="1">
      <x:alignment vertical="center"/>
    </x:xf>
    <x:xf numFmtId="0" fontId="4" fillId="6" borderId="18" xfId="0" applyNumberFormat="1" applyFont="1" applyFill="1" applyBorder="1" applyAlignment="1">
      <x:alignment vertical="center"/>
    </x:xf>
    <x:xf numFmtId="0" fontId="4" fillId="6" borderId="19" xfId="0" applyNumberFormat="1" applyFont="1" applyFill="1" applyBorder="1" applyAlignment="1">
      <x:alignment vertical="center"/>
    </x:xf>
    <x:xf numFmtId="206" fontId="4" fillId="6" borderId="20" xfId="0" applyNumberFormat="1" applyFont="1" applyFill="1" applyBorder="1" applyAlignment="1">
      <x:alignment vertical="center"/>
    </x:xf>
    <x:xf numFmtId="207" fontId="4" fillId="6" borderId="18" xfId="0" applyNumberFormat="1" applyFont="1" applyFill="1" applyBorder="1" applyAlignment="1">
      <x:alignment vertical="center"/>
    </x:xf>
    <x:xf numFmtId="207" fontId="4" fillId="6" borderId="19" xfId="0" applyNumberFormat="1" applyFont="1" applyFill="1" applyBorder="1" applyAlignment="1">
      <x:alignment vertical="center"/>
    </x:xf>
    <x:xf numFmtId="204" fontId="4" fillId="6" borderId="2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205" fontId="9" fillId="0" borderId="1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205" fontId="9" fillId="0" borderId="2" xfId="0" applyNumberFormat="1" applyFont="1" applyFill="1" applyBorder="1" applyAlignment="1">
      <x:alignment vertical="center"/>
    </x:xf>
    <x:xf numFmtId="204" fontId="9" fillId="0" borderId="2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208" fontId="0" fillId="0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204" fontId="4" fillId="9" borderId="0" xfId="0" applyNumberFormat="1" applyFont="1" applyFill="1" applyBorder="1" applyAlignment="1">
      <x:alignment vertical="center"/>
    </x:xf>
    <x:xf numFmtId="0" fontId="11" fillId="6" borderId="13" xfId="0" applyNumberFormat="1" applyFont="1" applyFill="1" applyBorder="1" applyAlignment="1">
      <x:alignment vertical="center"/>
    </x:xf>
    <x:xf numFmtId="0" fontId="11" fillId="6" borderId="16" xfId="0" applyNumberFormat="1" applyFont="1" applyFill="1" applyBorder="1" applyAlignment="1">
      <x:alignment vertical="center"/>
    </x:xf>
    <x:xf numFmtId="0" fontId="11" fillId="6" borderId="18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4" fillId="12" borderId="0" xfId="0" applyNumberFormat="1" applyFont="1" applyFill="1" applyBorder="1"/>
    <x:xf numFmtId="209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0" fillId="0" borderId="21" xfId="0" applyNumberFormat="1" applyFont="1" applyFill="1" applyBorder="1"/>
    <x:xf numFmtId="20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24" xfId="0" applyNumberFormat="1" applyFont="1" applyFill="1" applyBorder="1"/>
    <x:xf numFmtId="209" fontId="0" fillId="0" borderId="24" xfId="0" applyNumberFormat="1" applyFont="1" applyFill="1" applyBorder="1"/>
    <x:xf numFmtId="205" fontId="0" fillId="0" borderId="24" xfId="0" applyNumberFormat="1" applyFont="1" applyFill="1" applyBorder="1"/>
    <x:xf numFmtId="204" fontId="0" fillId="0" borderId="24" xfId="0" applyNumberFormat="1" applyFont="1" applyFill="1" applyBorder="1"/>
    <x:xf numFmtId="0" fontId="0" fillId="0" borderId="25" xfId="0" applyNumberFormat="1" applyFont="1" applyFill="1" applyBorder="1"/>
    <x:xf numFmtId="209" fontId="0" fillId="0" borderId="26" xfId="0" applyNumberFormat="1" applyFont="1" applyFill="1" applyBorder="1"/>
    <x:xf numFmtId="0" fontId="0" fillId="0" borderId="22" xfId="0" applyNumberFormat="1" applyFont="1" applyFill="1" applyBorder="1"/>
    <x:xf numFmtId="207" fontId="0" fillId="0" borderId="24" xfId="0" applyNumberFormat="1" applyFont="1" applyFill="1" applyBorder="1"/>
    <x:xf numFmtId="203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horizontal="center" wrapText="1"/>
    </x:xf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13" borderId="27" xfId="0" applyNumberFormat="1" applyFont="1" applyFill="1" applyBorder="1"/>
    <x:xf numFmtId="0" fontId="0" fillId="13" borderId="28" xfId="0" applyNumberFormat="1" applyFont="1" applyFill="1" applyBorder="1"/>
    <x:xf numFmtId="0" fontId="0" fillId="13" borderId="29" xfId="0" applyNumberFormat="1" applyFont="1" applyFill="1" applyBorder="1"/>
    <x:xf numFmtId="0" fontId="0" fillId="14" borderId="30" xfId="0" applyNumberFormat="1" applyFont="1" applyFill="1" applyBorder="1"/>
    <x:xf numFmtId="0" fontId="0" fillId="14" borderId="31" xfId="0" applyNumberFormat="1" applyFont="1" applyFill="1" applyBorder="1"/>
    <x:xf numFmtId="0" fontId="0" fillId="14" borderId="32" xfId="0" applyNumberFormat="1" applyFont="1" applyFill="1" applyBorder="1"/>
    <x:xf numFmtId="0" fontId="0" fillId="13" borderId="33" xfId="0" applyNumberFormat="1" applyFont="1" applyFill="1" applyBorder="1"/>
    <x:xf numFmtId="0" fontId="0" fillId="13" borderId="34" xfId="0" applyNumberFormat="1" applyFont="1" applyFill="1" applyBorder="1"/>
    <x:xf numFmtId="0" fontId="0" fillId="13" borderId="35" xfId="0" applyNumberFormat="1" applyFont="1" applyFill="1" applyBorder="1"/>
    <x:xf numFmtId="209" fontId="0" fillId="13" borderId="28" xfId="0" applyNumberFormat="1" applyFont="1" applyFill="1" applyBorder="1"/>
    <x:xf numFmtId="209" fontId="0" fillId="14" borderId="31" xfId="0" applyNumberFormat="1" applyFont="1" applyFill="1" applyBorder="1"/>
    <x:xf numFmtId="209" fontId="0" fillId="13" borderId="34" xfId="0" applyNumberFormat="1" applyFont="1" applyFill="1" applyBorder="1"/>
    <x:xf numFmtId="203" fontId="0" fillId="13" borderId="28" xfId="0" applyNumberFormat="1" applyFont="1" applyFill="1" applyBorder="1"/>
    <x:xf numFmtId="203" fontId="0" fillId="14" borderId="31" xfId="0" applyNumberFormat="1" applyFont="1" applyFill="1" applyBorder="1"/>
    <x:xf numFmtId="203" fontId="0" fillId="13" borderId="34" xfId="0" applyNumberFormat="1" applyFont="1" applyFill="1" applyBorder="1"/>
    <x:xf numFmtId="0" fontId="0" fillId="15" borderId="28" xfId="0" applyNumberFormat="1" applyFont="1" applyFill="1" applyBorder="1"/>
    <x:xf numFmtId="0" fontId="0" fillId="15" borderId="31" xfId="0" applyNumberFormat="1" applyFont="1" applyFill="1" applyBorder="1"/>
    <x:xf numFmtId="0" fontId="0" fillId="15" borderId="34" xfId="0" applyNumberFormat="1" applyFont="1" applyFill="1" applyBorder="1"/>
    <x:xf numFmtId="0" fontId="15" fillId="15" borderId="28" xfId="0" applyNumberFormat="1" applyFont="1" applyFill="1" applyBorder="1"/>
    <x:xf numFmtId="0" fontId="15" fillId="15" borderId="31" xfId="0" applyNumberFormat="1" applyFont="1" applyFill="1" applyBorder="1"/>
    <x:xf numFmtId="0" fontId="15" fillId="15" borderId="34" xfId="0" applyNumberFormat="1" applyFont="1" applyFill="1" applyBorder="1"/>
    <x:xf numFmtId="0" fontId="15" fillId="15" borderId="28" xfId="0" applyNumberFormat="1" applyFont="1" applyFill="1" applyBorder="1" applyAlignment="1">
      <x:alignment wrapText="1"/>
    </x:xf>
    <x:xf numFmtId="0" fontId="15" fillId="15" borderId="31" xfId="0" applyNumberFormat="1" applyFont="1" applyFill="1" applyBorder="1" applyAlignment="1">
      <x:alignment wrapText="1"/>
    </x:xf>
    <x:xf numFmtId="0" fontId="15" fillId="15" borderId="34" xfId="0" applyNumberFormat="1" applyFont="1" applyFill="1" applyBorder="1" applyAlignment="1">
      <x:alignment wrapText="1"/>
    </x:xf>
    <x:xf numFmtId="0" fontId="0" fillId="11" borderId="29" xfId="0" applyNumberFormat="1" applyFont="1" applyFill="1" applyBorder="1"/>
    <x:xf numFmtId="0" fontId="0" fillId="11" borderId="32" xfId="0" applyNumberFormat="1" applyFont="1" applyFill="1" applyBorder="1"/>
    <x:xf numFmtId="0" fontId="0" fillId="11" borderId="35" xfId="0" applyNumberFormat="1" applyFont="1" applyFill="1" applyBorder="1"/>
    <x:xf numFmtId="0" fontId="11" fillId="11" borderId="29" xfId="0" applyNumberFormat="1" applyFont="1" applyFill="1" applyBorder="1"/>
    <x:xf numFmtId="0" fontId="11" fillId="11" borderId="32" xfId="0" applyNumberFormat="1" applyFont="1" applyFill="1" applyBorder="1"/>
    <x:xf numFmtId="0" fontId="11" fillId="11" borderId="35" xfId="0" applyNumberFormat="1" applyFont="1" applyFill="1" applyBorder="1"/>
    <x:xf numFmtId="0" fontId="11" fillId="11" borderId="29" xfId="0" applyNumberFormat="1" applyFont="1" applyFill="1" applyBorder="1" applyAlignment="1">
      <x:alignment wrapText="1"/>
    </x:xf>
    <x:xf numFmtId="0" fontId="11" fillId="11" borderId="32" xfId="0" applyNumberFormat="1" applyFont="1" applyFill="1" applyBorder="1" applyAlignment="1">
      <x:alignment wrapText="1"/>
    </x:xf>
    <x:xf numFmtId="0" fontId="11" fillId="11" borderId="35" xfId="0" applyNumberFormat="1" applyFont="1" applyFill="1" applyBorder="1" applyAlignment="1">
      <x:alignment wrapText="1"/>
    </x:xf>
    <x:xf numFmtId="0" fontId="16" fillId="11" borderId="0" xfId="0" applyNumberFormat="1" applyFont="1" applyFill="1" applyBorder="1"/>
    <x:xf numFmtId="0" fontId="16" fillId="11" borderId="0" xfId="0" applyNumberFormat="1" applyFont="1" applyFill="1" applyBorder="1" applyAlignment="1">
      <x:alignment wrapText="1"/>
    </x:xf>
    <x:xf numFmtId="205" fontId="0" fillId="9" borderId="0" xfId="0" applyNumberFormat="1" applyFont="1" applyFill="1" applyBorder="1"/>
    <x:xf numFmtId="204" fontId="0" fillId="9" borderId="0" xfId="0" applyNumberFormat="1" applyFont="1" applyFill="1" applyBorder="1"/>
    <x:xf numFmtId="205" fontId="4" fillId="9" borderId="0" xfId="0" applyNumberFormat="1" applyFont="1" applyFill="1" applyBorder="1"/>
    <x:xf numFmtId="204" fontId="4" fillId="9" borderId="0" xfId="0" applyNumberFormat="1" applyFont="1" applyFill="1" applyBorder="1"/>
    <x:xf numFmtId="205" fontId="4" fillId="9" borderId="36" xfId="0" applyNumberFormat="1" applyFont="1" applyFill="1" applyBorder="1"/>
    <x:xf numFmtId="0" fontId="0" fillId="0" borderId="36" xfId="0" applyNumberFormat="1" applyFont="1" applyFill="1" applyBorder="1"/>
    <x:xf numFmtId="204" fontId="4" fillId="9" borderId="37" xfId="0" applyNumberFormat="1" applyFont="1" applyFill="1" applyBorder="1"/>
    <x:xf numFmtId="0" fontId="0" fillId="0" borderId="37" xfId="0" applyNumberFormat="1" applyFont="1" applyFill="1" applyBorder="1"/>
    <x:xf numFmtId="0" fontId="0" fillId="0" borderId="24" xfId="0" applyNumberFormat="1" applyFont="1" applyFill="1" applyBorder="1"/>
    <x:xf numFmtId="0" fontId="0" fillId="0" borderId="38" xfId="0" applyNumberFormat="1" applyFont="1" applyFill="1" applyBorder="1"/>
    <x:xf numFmtId="0" fontId="0" fillId="0" borderId="26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13" borderId="27" xfId="0" applyNumberFormat="1" applyFont="1" applyFill="1" applyBorder="1" applyAlignment="1">
      <x:alignment wrapText="1"/>
    </x:xf>
    <x:xf numFmtId="0" fontId="0" fillId="13" borderId="28" xfId="0" applyNumberFormat="1" applyFont="1" applyFill="1" applyBorder="1" applyAlignment="1">
      <x:alignment wrapText="1"/>
    </x:xf>
    <x:xf numFmtId="0" fontId="0" fillId="13" borderId="29" xfId="0" applyNumberFormat="1" applyFont="1" applyFill="1" applyBorder="1" applyAlignment="1">
      <x:alignment wrapText="1"/>
    </x:xf>
    <x:xf numFmtId="0" fontId="0" fillId="14" borderId="30" xfId="0" applyNumberFormat="1" applyFont="1" applyFill="1" applyBorder="1" applyAlignment="1">
      <x:alignment wrapText="1"/>
    </x:xf>
    <x:xf numFmtId="0" fontId="0" fillId="14" borderId="31" xfId="0" applyNumberFormat="1" applyFont="1" applyFill="1" applyBorder="1" applyAlignment="1">
      <x:alignment wrapText="1"/>
    </x:xf>
    <x:xf numFmtId="0" fontId="0" fillId="14" borderId="32" xfId="0" applyNumberFormat="1" applyFont="1" applyFill="1" applyBorder="1" applyAlignment="1">
      <x:alignment wrapText="1"/>
    </x:xf>
    <x:xf numFmtId="0" fontId="0" fillId="13" borderId="30" xfId="0" applyNumberFormat="1" applyFont="1" applyFill="1" applyBorder="1" applyAlignment="1">
      <x:alignment wrapText="1"/>
    </x:xf>
    <x:xf numFmtId="0" fontId="0" fillId="13" borderId="31" xfId="0" applyNumberFormat="1" applyFont="1" applyFill="1" applyBorder="1" applyAlignment="1">
      <x:alignment wrapText="1"/>
    </x:xf>
    <x:xf numFmtId="0" fontId="0" fillId="13" borderId="32" xfId="0" applyNumberFormat="1" applyFont="1" applyFill="1" applyBorder="1" applyAlignment="1">
      <x:alignment wrapText="1"/>
    </x:xf>
    <x:xf numFmtId="0" fontId="0" fillId="13" borderId="33" xfId="0" applyNumberFormat="1" applyFont="1" applyFill="1" applyBorder="1" applyAlignment="1">
      <x:alignment wrapText="1"/>
    </x:xf>
    <x:xf numFmtId="0" fontId="0" fillId="13" borderId="34" xfId="0" applyNumberFormat="1" applyFont="1" applyFill="1" applyBorder="1" applyAlignment="1">
      <x:alignment wrapText="1"/>
    </x:xf>
    <x:xf numFmtId="0" fontId="0" fillId="13" borderId="35" xfId="0" applyNumberFormat="1" applyFont="1" applyFill="1" applyBorder="1" applyAlignment="1">
      <x:alignment wrapText="1"/>
    </x:xf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15" fillId="15" borderId="0" xfId="0" applyNumberFormat="1" applyFont="1" applyFill="1" applyBorder="1" applyAlignment="1">
      <x:alignment wrapText="1"/>
    </x:xf>
    <x:xf numFmtId="0" fontId="11" fillId="15" borderId="0" xfId="0" applyNumberFormat="1" applyFont="1" applyFill="1" applyBorder="1"/>
    <x:xf numFmtId="0" fontId="11" fillId="15" borderId="39" xfId="0" applyNumberFormat="1" applyFont="1" applyFill="1" applyBorder="1"/>
    <x:xf numFmtId="0" fontId="11" fillId="15" borderId="40" xfId="0" applyNumberFormat="1" applyFont="1" applyFill="1" applyBorder="1"/>
    <x:xf numFmtId="0" fontId="11" fillId="15" borderId="41" xfId="0" applyNumberFormat="1" applyFont="1" applyFill="1" applyBorder="1"/>
    <x:xf numFmtId="0" fontId="11" fillId="15" borderId="39" xfId="0" applyNumberFormat="1" applyFont="1" applyFill="1" applyBorder="1" applyAlignment="1">
      <x:alignment wrapText="1"/>
    </x:xf>
    <x:xf numFmtId="0" fontId="11" fillId="15" borderId="40" xfId="0" applyNumberFormat="1" applyFont="1" applyFill="1" applyBorder="1" applyAlignment="1">
      <x:alignment wrapText="1"/>
    </x:xf>
    <x:xf numFmtId="0" fontId="11" fillId="15" borderId="41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200" fontId="0" fillId="0" borderId="24" xfId="0" applyNumberFormat="1" applyFont="1" applyFill="1" applyBorder="1" applyAlignment="1">
      <x:alignment vertical="center"/>
    </x:xf>
    <x:xf numFmtId="207" fontId="0" fillId="0" borderId="24" xfId="0" applyNumberFormat="1" applyFont="1" applyFill="1" applyBorder="1" applyAlignment="1">
      <x:alignment vertical="center"/>
    </x:xf>
    <x:xf numFmtId="209" fontId="0" fillId="0" borderId="24" xfId="0" applyNumberFormat="1" applyFont="1" applyFill="1" applyBorder="1" applyAlignment="1">
      <x:alignment vertical="center"/>
    </x:xf>
    <x:xf numFmtId="204" fontId="0" fillId="0" borderId="24" xfId="0" applyNumberFormat="1" applyFont="1" applyFill="1" applyBorder="1" applyAlignment="1">
      <x:alignment vertical="center"/>
    </x:xf>
    <x:xf numFmtId="203" fontId="0" fillId="0" borderId="24" xfId="0" applyNumberFormat="1" applyFont="1" applyFill="1" applyBorder="1" applyAlignment="1">
      <x:alignment vertical="center"/>
    </x:xf>
    <x:xf numFmtId="205" fontId="0" fillId="0" borderId="24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vertical="center" wrapText="1"/>
    </x:xf>
    <x:xf numFmtId="209" fontId="0" fillId="0" borderId="26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0" fillId="13" borderId="27" xfId="0" applyNumberFormat="1" applyFont="1" applyFill="1" applyBorder="1" applyAlignment="1">
      <x:alignment vertical="center"/>
    </x:xf>
    <x:xf numFmtId="0" fontId="0" fillId="13" borderId="28" xfId="0" applyNumberFormat="1" applyFont="1" applyFill="1" applyBorder="1" applyAlignment="1">
      <x:alignment vertical="center"/>
    </x:xf>
    <x:xf numFmtId="209" fontId="0" fillId="13" borderId="28" xfId="0" applyNumberFormat="1" applyFont="1" applyFill="1" applyBorder="1" applyAlignment="1">
      <x:alignment vertical="center"/>
    </x:xf>
    <x:xf numFmtId="203" fontId="0" fillId="13" borderId="28" xfId="0" applyNumberFormat="1" applyFont="1" applyFill="1" applyBorder="1" applyAlignment="1">
      <x:alignment vertical="center"/>
    </x:xf>
    <x:xf numFmtId="0" fontId="15" fillId="15" borderId="28" xfId="0" applyNumberFormat="1" applyFont="1" applyFill="1" applyBorder="1" applyAlignment="1">
      <x:alignment vertical="center" wrapText="1"/>
    </x:xf>
    <x:xf numFmtId="0" fontId="11" fillId="11" borderId="29" xfId="0" applyNumberFormat="1" applyFont="1" applyFill="1" applyBorder="1" applyAlignment="1">
      <x:alignment vertical="center" wrapText="1"/>
    </x:xf>
    <x:xf numFmtId="0" fontId="0" fillId="14" borderId="30" xfId="0" applyNumberFormat="1" applyFont="1" applyFill="1" applyBorder="1" applyAlignment="1">
      <x:alignment vertical="center"/>
    </x:xf>
    <x:xf numFmtId="0" fontId="0" fillId="14" borderId="31" xfId="0" applyNumberFormat="1" applyFont="1" applyFill="1" applyBorder="1" applyAlignment="1">
      <x:alignment vertical="center"/>
    </x:xf>
    <x:xf numFmtId="209" fontId="0" fillId="14" borderId="31" xfId="0" applyNumberFormat="1" applyFont="1" applyFill="1" applyBorder="1" applyAlignment="1">
      <x:alignment vertical="center"/>
    </x:xf>
    <x:xf numFmtId="203" fontId="0" fillId="14" borderId="31" xfId="0" applyNumberFormat="1" applyFont="1" applyFill="1" applyBorder="1" applyAlignment="1">
      <x:alignment vertical="center"/>
    </x:xf>
    <x:xf numFmtId="0" fontId="15" fillId="15" borderId="31" xfId="0" applyNumberFormat="1" applyFont="1" applyFill="1" applyBorder="1" applyAlignment="1">
      <x:alignment vertical="center" wrapText="1"/>
    </x:xf>
    <x:xf numFmtId="0" fontId="11" fillId="11" borderId="32" xfId="0" applyNumberFormat="1" applyFont="1" applyFill="1" applyBorder="1" applyAlignment="1">
      <x:alignment vertical="center" wrapText="1"/>
    </x:xf>
    <x:xf numFmtId="0" fontId="0" fillId="13" borderId="33" xfId="0" applyNumberFormat="1" applyFont="1" applyFill="1" applyBorder="1" applyAlignment="1">
      <x:alignment vertical="center"/>
    </x:xf>
    <x:xf numFmtId="0" fontId="0" fillId="13" borderId="34" xfId="0" applyNumberFormat="1" applyFont="1" applyFill="1" applyBorder="1" applyAlignment="1">
      <x:alignment vertical="center"/>
    </x:xf>
    <x:xf numFmtId="209" fontId="0" fillId="13" borderId="34" xfId="0" applyNumberFormat="1" applyFont="1" applyFill="1" applyBorder="1" applyAlignment="1">
      <x:alignment vertical="center"/>
    </x:xf>
    <x:xf numFmtId="203" fontId="0" fillId="13" borderId="34" xfId="0" applyNumberFormat="1" applyFont="1" applyFill="1" applyBorder="1" applyAlignment="1">
      <x:alignment vertical="center"/>
    </x:xf>
    <x:xf numFmtId="0" fontId="15" fillId="15" borderId="34" xfId="0" applyNumberFormat="1" applyFont="1" applyFill="1" applyBorder="1" applyAlignment="1">
      <x:alignment vertical="center" wrapText="1"/>
    </x:xf>
    <x:xf numFmtId="0" fontId="11" fillId="11" borderId="35" xfId="0" applyNumberFormat="1" applyFont="1" applyFill="1" applyBorder="1" applyAlignment="1">
      <x:alignment vertical="center" wrapText="1"/>
    </x:xf>
    <x:xf numFmtId="0" fontId="16" fillId="11" borderId="0" xfId="0" applyNumberFormat="1" applyFont="1" applyFill="1" applyBorder="1" applyAlignment="1">
      <x:alignment vertical="center" wrapText="1"/>
    </x:xf>
    <x:xf numFmtId="205" fontId="4" fillId="9" borderId="36" xfId="0" applyNumberFormat="1" applyFont="1" applyFill="1" applyBorder="1" applyAlignment="1">
      <x:alignment vertical="center"/>
    </x:xf>
    <x:xf numFmtId="0" fontId="0" fillId="0" borderId="36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 wrapText="1"/>
    </x:xf>
    <x:xf numFmtId="0" fontId="0" fillId="13" borderId="27" xfId="0" applyNumberFormat="1" applyFont="1" applyFill="1" applyBorder="1" applyAlignment="1">
      <x:alignment vertical="center" wrapText="1"/>
    </x:xf>
    <x:xf numFmtId="0" fontId="0" fillId="13" borderId="28" xfId="0" applyNumberFormat="1" applyFont="1" applyFill="1" applyBorder="1" applyAlignment="1">
      <x:alignment vertical="center" wrapText="1"/>
    </x:xf>
    <x:xf numFmtId="0" fontId="0" fillId="13" borderId="29" xfId="0" applyNumberFormat="1" applyFont="1" applyFill="1" applyBorder="1" applyAlignment="1">
      <x:alignment vertical="center" wrapText="1"/>
    </x:xf>
    <x:xf numFmtId="204" fontId="4" fillId="9" borderId="37" xfId="0" applyNumberFormat="1" applyFont="1" applyFill="1" applyBorder="1" applyAlignment="1">
      <x:alignment vertical="center"/>
    </x:xf>
    <x:xf numFmtId="0" fontId="0" fillId="0" borderId="37" xfId="0" applyNumberFormat="1" applyFont="1" applyFill="1" applyBorder="1" applyAlignment="1">
      <x:alignment vertical="center"/>
    </x:xf>
    <x:xf numFmtId="0" fontId="0" fillId="14" borderId="30" xfId="0" applyNumberFormat="1" applyFont="1" applyFill="1" applyBorder="1" applyAlignment="1">
      <x:alignment vertical="center" wrapText="1"/>
    </x:xf>
    <x:xf numFmtId="0" fontId="0" fillId="14" borderId="31" xfId="0" applyNumberFormat="1" applyFont="1" applyFill="1" applyBorder="1" applyAlignment="1">
      <x:alignment vertical="center" wrapText="1"/>
    </x:xf>
    <x:xf numFmtId="0" fontId="0" fillId="14" borderId="32" xfId="0" applyNumberFormat="1" applyFont="1" applyFill="1" applyBorder="1" applyAlignment="1">
      <x:alignment vertical="center" wrapText="1"/>
    </x:xf>
    <x:xf numFmtId="0" fontId="0" fillId="13" borderId="30" xfId="0" applyNumberFormat="1" applyFont="1" applyFill="1" applyBorder="1" applyAlignment="1">
      <x:alignment vertical="center" wrapText="1"/>
    </x:xf>
    <x:xf numFmtId="0" fontId="0" fillId="13" borderId="31" xfId="0" applyNumberFormat="1" applyFont="1" applyFill="1" applyBorder="1" applyAlignment="1">
      <x:alignment vertical="center" wrapText="1"/>
    </x:xf>
    <x:xf numFmtId="0" fontId="0" fillId="13" borderId="32" xfId="0" applyNumberFormat="1" applyFont="1" applyFill="1" applyBorder="1" applyAlignment="1">
      <x:alignment vertical="center" wrapText="1"/>
    </x:xf>
    <x:xf numFmtId="0" fontId="0" fillId="13" borderId="33" xfId="0" applyNumberFormat="1" applyFont="1" applyFill="1" applyBorder="1" applyAlignment="1">
      <x:alignment vertical="center" wrapText="1"/>
    </x:xf>
    <x:xf numFmtId="0" fontId="0" fillId="13" borderId="34" xfId="0" applyNumberFormat="1" applyFont="1" applyFill="1" applyBorder="1" applyAlignment="1">
      <x:alignment vertical="center" wrapText="1"/>
    </x:xf>
    <x:xf numFmtId="0" fontId="0" fillId="13" borderId="35" xfId="0" applyNumberFormat="1" applyFont="1" applyFill="1" applyBorder="1" applyAlignment="1">
      <x:alignment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/>
    </x:xf>
    <x:xf numFmtId="0" fontId="15" fillId="15" borderId="0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vertical="center"/>
    </x:xf>
    <x:xf numFmtId="0" fontId="11" fillId="15" borderId="39" xfId="0" applyNumberFormat="1" applyFont="1" applyFill="1" applyBorder="1" applyAlignment="1">
      <x:alignment vertical="center" wrapText="1"/>
    </x:xf>
    <x:xf numFmtId="0" fontId="11" fillId="15" borderId="40" xfId="0" applyNumberFormat="1" applyFont="1" applyFill="1" applyBorder="1" applyAlignment="1">
      <x:alignment vertical="center" wrapText="1"/>
    </x:xf>
    <x:xf numFmtId="0" fontId="11" fillId="15" borderId="41" xfId="0" applyNumberFormat="1" applyFont="1" applyFill="1" applyBorder="1" applyAlignment="1">
      <x:alignment vertical="center" wrapText="1"/>
    </x:xf>
    <x:xf numFmtId="0" fontId="17" fillId="10" borderId="0" xfId="0" applyNumberFormat="1" applyFont="1" applyFill="1" applyBorder="1" applyAlignment="1">
      <x:alignment vertical="center"/>
    </x:xf>
    <x:xf numFmtId="0" fontId="18" fillId="11" borderId="0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 applyAlignment="1">
      <x:alignment vertical="center"/>
    </x:xf>
    <x:xf numFmtId="0" fontId="20" fillId="12" borderId="0" xfId="0" applyNumberFormat="1" applyFont="1" applyFill="1" applyBorder="1" applyAlignment="1">
      <x:alignment vertical="center"/>
    </x:xf>
    <x:xf numFmtId="0" fontId="19" fillId="0" borderId="21" xfId="0" applyNumberFormat="1" applyFont="1" applyFill="1" applyBorder="1" applyAlignment="1">
      <x:alignment vertical="center"/>
    </x:xf>
    <x:xf numFmtId="200" fontId="19" fillId="0" borderId="22" xfId="0" applyNumberFormat="1" applyFont="1" applyFill="1" applyBorder="1" applyAlignment="1">
      <x:alignment vertical="center"/>
    </x:xf>
    <x:xf numFmtId="0" fontId="19" fillId="0" borderId="22" xfId="0" applyNumberFormat="1" applyFont="1" applyFill="1" applyBorder="1" applyAlignment="1">
      <x:alignment vertical="center"/>
    </x:xf>
    <x:xf numFmtId="0" fontId="19" fillId="0" borderId="23" xfId="0" applyNumberFormat="1" applyFont="1" applyFill="1" applyBorder="1" applyAlignment="1">
      <x:alignment vertical="center"/>
    </x:xf>
    <x:xf numFmtId="200" fontId="19" fillId="0" borderId="24" xfId="0" applyNumberFormat="1" applyFont="1" applyFill="1" applyBorder="1" applyAlignment="1">
      <x:alignment vertical="center"/>
    </x:xf>
    <x:xf numFmtId="207" fontId="19" fillId="0" borderId="24" xfId="0" applyNumberFormat="1" applyFont="1" applyFill="1" applyBorder="1" applyAlignment="1">
      <x:alignment vertical="center"/>
    </x:xf>
    <x:xf numFmtId="209" fontId="19" fillId="0" borderId="24" xfId="0" applyNumberFormat="1" applyFont="1" applyFill="1" applyBorder="1" applyAlignment="1">
      <x:alignment vertical="center"/>
    </x:xf>
    <x:xf numFmtId="204" fontId="19" fillId="0" borderId="24" xfId="0" applyNumberFormat="1" applyFont="1" applyFill="1" applyBorder="1" applyAlignment="1">
      <x:alignment vertical="center"/>
    </x:xf>
    <x:xf numFmtId="203" fontId="19" fillId="0" borderId="24" xfId="0" applyNumberFormat="1" applyFont="1" applyFill="1" applyBorder="1" applyAlignment="1">
      <x:alignment vertical="center"/>
    </x:xf>
    <x:xf numFmtId="205" fontId="19" fillId="0" borderId="24" xfId="0" applyNumberFormat="1" applyFont="1" applyFill="1" applyBorder="1" applyAlignment="1">
      <x:alignment vertical="center"/>
    </x:xf>
    <x:xf numFmtId="0" fontId="19" fillId="0" borderId="24" xfId="0" applyNumberFormat="1" applyFont="1" applyFill="1" applyBorder="1" applyAlignment="1">
      <x:alignment vertical="center" wrapText="1"/>
    </x:xf>
    <x:xf numFmtId="0" fontId="19" fillId="0" borderId="25" xfId="0" applyNumberFormat="1" applyFont="1" applyFill="1" applyBorder="1" applyAlignment="1">
      <x:alignment vertical="center"/>
    </x:xf>
    <x:xf numFmtId="0" fontId="19" fillId="0" borderId="26" xfId="0" applyNumberFormat="1" applyFont="1" applyFill="1" applyBorder="1" applyAlignment="1">
      <x:alignment vertical="center" wrapText="1"/>
    </x:xf>
    <x:xf numFmtId="209" fontId="19" fillId="0" borderId="26" xfId="0" applyNumberFormat="1" applyFont="1" applyFill="1" applyBorder="1" applyAlignment="1">
      <x:alignment vertical="center"/>
    </x:xf>
    <x:xf numFmtId="0" fontId="21" fillId="10" borderId="0" xfId="0" applyNumberFormat="1" applyFont="1" applyFill="1" applyBorder="1" applyAlignment="1">
      <x:alignment vertical="center"/>
    </x:xf>
    <x:xf numFmtId="0" fontId="21" fillId="10" borderId="0" xfId="0" applyNumberFormat="1" applyFont="1" applyFill="1" applyBorder="1" applyAlignment="1">
      <x:alignment horizontal="center" vertical="center" wrapText="1"/>
    </x:xf>
    <x:xf numFmtId="0" fontId="19" fillId="13" borderId="27" xfId="0" applyNumberFormat="1" applyFont="1" applyFill="1" applyBorder="1" applyAlignment="1">
      <x:alignment vertical="center"/>
    </x:xf>
    <x:xf numFmtId="0" fontId="19" fillId="13" borderId="28" xfId="0" applyNumberFormat="1" applyFont="1" applyFill="1" applyBorder="1" applyAlignment="1">
      <x:alignment vertical="center"/>
    </x:xf>
    <x:xf numFmtId="209" fontId="19" fillId="13" borderId="28" xfId="0" applyNumberFormat="1" applyFont="1" applyFill="1" applyBorder="1" applyAlignment="1">
      <x:alignment vertical="center"/>
    </x:xf>
    <x:xf numFmtId="203" fontId="19" fillId="13" borderId="28" xfId="0" applyNumberFormat="1" applyFont="1" applyFill="1" applyBorder="1" applyAlignment="1">
      <x:alignment vertical="center"/>
    </x:xf>
    <x:xf numFmtId="0" fontId="22" fillId="15" borderId="28" xfId="0" applyNumberFormat="1" applyFont="1" applyFill="1" applyBorder="1" applyAlignment="1">
      <x:alignment vertical="center" wrapText="1"/>
    </x:xf>
    <x:xf numFmtId="0" fontId="23" fillId="11" borderId="29" xfId="0" applyNumberFormat="1" applyFont="1" applyFill="1" applyBorder="1" applyAlignment="1">
      <x:alignment vertical="center" wrapText="1"/>
    </x:xf>
    <x:xf numFmtId="0" fontId="19" fillId="14" borderId="30" xfId="0" applyNumberFormat="1" applyFont="1" applyFill="1" applyBorder="1" applyAlignment="1">
      <x:alignment vertical="center"/>
    </x:xf>
    <x:xf numFmtId="0" fontId="19" fillId="14" borderId="31" xfId="0" applyNumberFormat="1" applyFont="1" applyFill="1" applyBorder="1" applyAlignment="1">
      <x:alignment vertical="center"/>
    </x:xf>
    <x:xf numFmtId="209" fontId="19" fillId="14" borderId="31" xfId="0" applyNumberFormat="1" applyFont="1" applyFill="1" applyBorder="1" applyAlignment="1">
      <x:alignment vertical="center"/>
    </x:xf>
    <x:xf numFmtId="203" fontId="19" fillId="14" borderId="31" xfId="0" applyNumberFormat="1" applyFont="1" applyFill="1" applyBorder="1" applyAlignment="1">
      <x:alignment vertical="center"/>
    </x:xf>
    <x:xf numFmtId="0" fontId="22" fillId="15" borderId="31" xfId="0" applyNumberFormat="1" applyFont="1" applyFill="1" applyBorder="1" applyAlignment="1">
      <x:alignment vertical="center" wrapText="1"/>
    </x:xf>
    <x:xf numFmtId="0" fontId="23" fillId="11" borderId="32" xfId="0" applyNumberFormat="1" applyFont="1" applyFill="1" applyBorder="1" applyAlignment="1">
      <x:alignment vertical="center" wrapText="1"/>
    </x:xf>
    <x:xf numFmtId="0" fontId="19" fillId="13" borderId="33" xfId="0" applyNumberFormat="1" applyFont="1" applyFill="1" applyBorder="1" applyAlignment="1">
      <x:alignment vertical="center"/>
    </x:xf>
    <x:xf numFmtId="0" fontId="19" fillId="13" borderId="34" xfId="0" applyNumberFormat="1" applyFont="1" applyFill="1" applyBorder="1" applyAlignment="1">
      <x:alignment vertical="center"/>
    </x:xf>
    <x:xf numFmtId="209" fontId="19" fillId="13" borderId="34" xfId="0" applyNumberFormat="1" applyFont="1" applyFill="1" applyBorder="1" applyAlignment="1">
      <x:alignment vertical="center"/>
    </x:xf>
    <x:xf numFmtId="203" fontId="19" fillId="13" borderId="34" xfId="0" applyNumberFormat="1" applyFont="1" applyFill="1" applyBorder="1" applyAlignment="1">
      <x:alignment vertical="center"/>
    </x:xf>
    <x:xf numFmtId="0" fontId="22" fillId="15" borderId="34" xfId="0" applyNumberFormat="1" applyFont="1" applyFill="1" applyBorder="1" applyAlignment="1">
      <x:alignment vertical="center" wrapText="1"/>
    </x:xf>
    <x:xf numFmtId="0" fontId="23" fillId="11" borderId="35" xfId="0" applyNumberFormat="1" applyFont="1" applyFill="1" applyBorder="1" applyAlignment="1">
      <x:alignment vertical="center" wrapText="1"/>
    </x:xf>
    <x:xf numFmtId="0" fontId="24" fillId="11" borderId="0" xfId="0" applyNumberFormat="1" applyFont="1" applyFill="1" applyBorder="1" applyAlignment="1">
      <x:alignment vertical="center" wrapText="1"/>
    </x:xf>
    <x:xf numFmtId="205" fontId="25" fillId="9" borderId="36" xfId="0" applyNumberFormat="1" applyFont="1" applyFill="1" applyBorder="1" applyAlignment="1">
      <x:alignment vertical="center"/>
    </x:xf>
    <x:xf numFmtId="0" fontId="19" fillId="0" borderId="36" xfId="0" applyNumberFormat="1" applyFont="1" applyFill="1" applyBorder="1" applyAlignment="1">
      <x:alignment vertical="center"/>
    </x:xf>
    <x:xf numFmtId="0" fontId="19" fillId="0" borderId="22" xfId="0" applyNumberFormat="1" applyFont="1" applyFill="1" applyBorder="1" applyAlignment="1">
      <x:alignment vertical="center" wrapText="1"/>
    </x:xf>
    <x:xf numFmtId="0" fontId="19" fillId="13" borderId="27" xfId="0" applyNumberFormat="1" applyFont="1" applyFill="1" applyBorder="1" applyAlignment="1">
      <x:alignment vertical="center" wrapText="1"/>
    </x:xf>
    <x:xf numFmtId="0" fontId="19" fillId="13" borderId="28" xfId="0" applyNumberFormat="1" applyFont="1" applyFill="1" applyBorder="1" applyAlignment="1">
      <x:alignment vertical="center" wrapText="1"/>
    </x:xf>
    <x:xf numFmtId="0" fontId="19" fillId="13" borderId="29" xfId="0" applyNumberFormat="1" applyFont="1" applyFill="1" applyBorder="1" applyAlignment="1">
      <x:alignment vertical="center" wrapText="1"/>
    </x:xf>
    <x:xf numFmtId="204" fontId="25" fillId="9" borderId="37" xfId="0" applyNumberFormat="1" applyFont="1" applyFill="1" applyBorder="1" applyAlignment="1">
      <x:alignment vertical="center"/>
    </x:xf>
    <x:xf numFmtId="0" fontId="19" fillId="0" borderId="37" xfId="0" applyNumberFormat="1" applyFont="1" applyFill="1" applyBorder="1" applyAlignment="1">
      <x:alignment vertical="center"/>
    </x:xf>
    <x:xf numFmtId="0" fontId="19" fillId="14" borderId="30" xfId="0" applyNumberFormat="1" applyFont="1" applyFill="1" applyBorder="1" applyAlignment="1">
      <x:alignment vertical="center" wrapText="1"/>
    </x:xf>
    <x:xf numFmtId="0" fontId="19" fillId="14" borderId="31" xfId="0" applyNumberFormat="1" applyFont="1" applyFill="1" applyBorder="1" applyAlignment="1">
      <x:alignment vertical="center" wrapText="1"/>
    </x:xf>
    <x:xf numFmtId="0" fontId="19" fillId="14" borderId="32" xfId="0" applyNumberFormat="1" applyFont="1" applyFill="1" applyBorder="1" applyAlignment="1">
      <x:alignment vertical="center" wrapText="1"/>
    </x:xf>
    <x:xf numFmtId="0" fontId="19" fillId="13" borderId="30" xfId="0" applyNumberFormat="1" applyFont="1" applyFill="1" applyBorder="1" applyAlignment="1">
      <x:alignment vertical="center" wrapText="1"/>
    </x:xf>
    <x:xf numFmtId="0" fontId="19" fillId="13" borderId="31" xfId="0" applyNumberFormat="1" applyFont="1" applyFill="1" applyBorder="1" applyAlignment="1">
      <x:alignment vertical="center" wrapText="1"/>
    </x:xf>
    <x:xf numFmtId="0" fontId="19" fillId="13" borderId="32" xfId="0" applyNumberFormat="1" applyFont="1" applyFill="1" applyBorder="1" applyAlignment="1">
      <x:alignment vertical="center" wrapText="1"/>
    </x:xf>
    <x:xf numFmtId="0" fontId="19" fillId="13" borderId="33" xfId="0" applyNumberFormat="1" applyFont="1" applyFill="1" applyBorder="1" applyAlignment="1">
      <x:alignment vertical="center" wrapText="1"/>
    </x:xf>
    <x:xf numFmtId="0" fontId="19" fillId="13" borderId="34" xfId="0" applyNumberFormat="1" applyFont="1" applyFill="1" applyBorder="1" applyAlignment="1">
      <x:alignment vertical="center" wrapText="1"/>
    </x:xf>
    <x:xf numFmtId="0" fontId="19" fillId="13" borderId="35" xfId="0" applyNumberFormat="1" applyFont="1" applyFill="1" applyBorder="1" applyAlignment="1">
      <x:alignment vertical="center" wrapText="1"/>
    </x:xf>
    <x:xf numFmtId="0" fontId="23" fillId="11" borderId="0" xfId="0" applyNumberFormat="1" applyFont="1" applyFill="1" applyBorder="1" applyAlignment="1">
      <x:alignment vertical="center" wrapText="1"/>
    </x:xf>
    <x:xf numFmtId="0" fontId="19" fillId="0" borderId="24" xfId="0" applyNumberFormat="1" applyFont="1" applyFill="1" applyBorder="1" applyAlignment="1">
      <x:alignment vertical="center"/>
    </x:xf>
    <x:xf numFmtId="0" fontId="22" fillId="15" borderId="0" xfId="0" applyNumberFormat="1" applyFont="1" applyFill="1" applyBorder="1" applyAlignment="1">
      <x:alignment vertical="center" wrapText="1"/>
    </x:xf>
    <x:xf numFmtId="0" fontId="19" fillId="0" borderId="38" xfId="0" applyNumberFormat="1" applyFont="1" applyFill="1" applyBorder="1" applyAlignment="1">
      <x:alignment vertical="center"/>
    </x:xf>
    <x:xf numFmtId="0" fontId="19" fillId="0" borderId="26" xfId="0" applyNumberFormat="1" applyFont="1" applyFill="1" applyBorder="1" applyAlignment="1">
      <x:alignment vertical="center"/>
    </x:xf>
    <x:xf numFmtId="0" fontId="23" fillId="15" borderId="39" xfId="0" applyNumberFormat="1" applyFont="1" applyFill="1" applyBorder="1" applyAlignment="1">
      <x:alignment vertical="center" wrapText="1"/>
    </x:xf>
    <x:xf numFmtId="0" fontId="23" fillId="15" borderId="40" xfId="0" applyNumberFormat="1" applyFont="1" applyFill="1" applyBorder="1" applyAlignment="1">
      <x:alignment vertical="center" wrapText="1"/>
    </x:xf>
    <x:xf numFmtId="0" fontId="23" fillId="15" borderId="41" xfId="0" applyNumberFormat="1" applyFont="1" applyFill="1" applyBorder="1" applyAlignment="1">
      <x:alignment vertical="center" wrapText="1"/>
    </x:xf>
    <x:xf numFmtId="0" fontId="26" fillId="0" borderId="21" xfId="0" applyNumberFormat="1" applyFont="1" applyFill="1" applyBorder="1" applyAlignment="1">
      <x:alignment vertical="center"/>
    </x:xf>
    <x:xf numFmtId="0" fontId="26" fillId="0" borderId="23" xfId="0" applyNumberFormat="1" applyFont="1" applyFill="1" applyBorder="1" applyAlignment="1">
      <x:alignment vertical="center"/>
    </x:xf>
    <x:xf numFmtId="0" fontId="26" fillId="0" borderId="25" xfId="0" applyNumberFormat="1" applyFont="1" applyFill="1" applyBorder="1" applyAlignment="1">
      <x:alignment vertical="center"/>
    </x:xf>
    <x:xf numFmtId="0" fontId="0" fillId="14" borderId="27" xfId="0" applyNumberFormat="1" applyFont="1" applyFill="1" applyBorder="1" applyAlignment="1">
      <x:alignment wrapText="1"/>
    </x:xf>
    <x:xf numFmtId="0" fontId="0" fillId="14" borderId="28" xfId="0" applyNumberFormat="1" applyFont="1" applyFill="1" applyBorder="1" applyAlignment="1">
      <x:alignment wrapText="1"/>
    </x:xf>
    <x:xf numFmtId="0" fontId="0" fillId="14" borderId="29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0" fillId="14" borderId="0" xfId="0" applyNumberFormat="1" applyFont="1" applyFill="1" applyBorder="1" applyAlignment="1">
      <x:alignment wrapText="1"/>
    </x:xf>
    <x:xf numFmtId="0" fontId="0" fillId="14" borderId="42" xfId="0" applyNumberFormat="1" applyFont="1" applyFill="1" applyBorder="1" applyAlignment="1">
      <x:alignment wrapText="1"/>
    </x:xf>
    <x:xf numFmtId="0" fontId="0" fillId="14" borderId="43" xfId="0" applyNumberFormat="1" applyFont="1" applyFill="1" applyBorder="1" applyAlignment="1">
      <x:alignment wrapText="1"/>
    </x:xf>
    <x:xf numFmtId="0" fontId="0" fillId="14" borderId="44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2" fillId="16" borderId="0" xfId="0" applyNumberFormat="1" applyFont="1" applyFill="1" applyBorder="1"/>
    <x:xf numFmtId="0" fontId="12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27" fillId="17" borderId="0" xfId="0" applyNumberFormat="1" applyFont="1" applyFill="1" applyBorder="1"/>
    <x:xf numFmtId="0" fontId="27" fillId="17" borderId="0" xfId="0" applyNumberFormat="1" applyFont="1" applyFill="1" applyBorder="1" applyAlignment="1">
      <x:alignment wrapText="1"/>
    </x:xf>
    <x:xf numFmtId="0" fontId="27" fillId="17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28" fillId="18" borderId="0" xfId="0" applyNumberFormat="1" applyFont="1" applyFill="1" applyBorder="1"/>
    <x:xf numFmtId="0" fontId="28" fillId="18" borderId="0" xfId="0" applyNumberFormat="1" applyFont="1" applyFill="1" applyBorder="1" applyAlignment="1">
      <x:alignment vertical="center"/>
    </x:xf>
    <x:xf numFmtId="0" fontId="0" fillId="0" borderId="45" xfId="0" applyNumberFormat="1" applyFont="1" applyFill="1" applyBorder="1"/>
    <x:xf numFmtId="0" fontId="0" fillId="0" borderId="46" xfId="0" applyNumberFormat="1" applyFont="1" applyFill="1" applyBorder="1"/>
    <x:xf numFmtId="0" fontId="0" fillId="0" borderId="47" xfId="0" applyNumberFormat="1" applyFont="1" applyFill="1" applyBorder="1"/>
    <x:xf numFmtId="0" fontId="0" fillId="0" borderId="48" xfId="0" applyNumberFormat="1" applyFont="1" applyFill="1" applyBorder="1"/>
    <x:xf numFmtId="0" fontId="0" fillId="0" borderId="49" xfId="0" applyNumberFormat="1" applyFont="1" applyFill="1" applyBorder="1"/>
    <x:xf numFmtId="0" fontId="0" fillId="0" borderId="50" xfId="0" applyNumberFormat="1" applyFont="1" applyFill="1" applyBorder="1"/>
    <x:xf numFmtId="0" fontId="0" fillId="0" borderId="51" xfId="0" applyNumberFormat="1" applyFont="1" applyFill="1" applyBorder="1"/>
    <x:xf numFmtId="0" fontId="0" fillId="0" borderId="52" xfId="0" applyNumberFormat="1" applyFont="1" applyFill="1" applyBorder="1"/>
    <x:xf numFmtId="0" fontId="0" fillId="0" borderId="53" xfId="0" applyNumberFormat="1" applyFont="1" applyFill="1" applyBorder="1"/>
    <x:xf numFmtId="0" fontId="0" fillId="16" borderId="49" xfId="0" applyNumberFormat="1" applyFont="1" applyFill="1" applyBorder="1"/>
    <x:xf numFmtId="0" fontId="8" fillId="16" borderId="49" xfId="0" applyNumberFormat="1" applyFont="1" applyFill="1" applyBorder="1"/>
    <x:xf numFmtId="0" fontId="8" fillId="16" borderId="49" xfId="0" applyNumberFormat="1" applyFont="1" applyFill="1" applyBorder="1" applyAlignment="1">
      <x:alignment wrapText="1"/>
    </x:xf>
    <x:xf numFmtId="0" fontId="8" fillId="16" borderId="49" xfId="0" applyNumberFormat="1" applyFont="1" applyFill="1" applyBorder="1" applyAlignment="1">
      <x:alignment horizontal="center" wrapText="1"/>
    </x:xf>
    <x:xf numFmtId="0" fontId="8" fillId="16" borderId="49" xfId="0" applyNumberFormat="1" applyFont="1" applyFill="1" applyBorder="1" applyAlignment="1">
      <x:alignment horizontal="center" vertical="center" wrapText="1"/>
    </x:xf>
    <x:xf numFmtId="0" fontId="0" fillId="19" borderId="49" xfId="0" applyNumberFormat="1" applyFont="1" applyFill="1" applyBorder="1"/>
    <x:xf numFmtId="0" fontId="0" fillId="20" borderId="49" xfId="0" applyNumberFormat="1" applyFont="1" applyFill="1" applyBorder="1"/>
    <x:xf numFmtId="0" fontId="4" fillId="20" borderId="49" xfId="0" applyNumberFormat="1" applyFont="1" applyFill="1" applyBorder="1"/>
    <x:xf numFmtId="0" fontId="0" fillId="20" borderId="52" xfId="0" applyNumberFormat="1" applyFont="1" applyFill="1" applyBorder="1"/>
    <x:xf numFmtId="0" fontId="4" fillId="20" borderId="52" xfId="0" applyNumberFormat="1" applyFont="1" applyFill="1" applyBorder="1"/>
    <x:xf numFmtId="0" fontId="29" fillId="0" borderId="49" xfId="0" applyNumberFormat="1" applyFont="1" applyFill="1" applyBorder="1"/>
    <x:xf numFmtId="0" fontId="0" fillId="21" borderId="46" xfId="0" applyNumberFormat="1" applyFont="1" applyFill="1" applyBorder="1"/>
    <x:xf numFmtId="0" fontId="30" fillId="21" borderId="46" xfId="0" applyNumberFormat="1" applyFont="1" applyFill="1" applyBorder="1"/>
    <x:xf numFmtId="0" fontId="30" fillId="21" borderId="46" xfId="0" applyNumberFormat="1" applyFont="1" applyFill="1" applyBorder="1" applyAlignment="1">
      <x:alignment wrapText="1"/>
    </x:xf>
    <x:xf numFmtId="0" fontId="0" fillId="22" borderId="49" xfId="0" applyNumberFormat="1" applyFont="1" applyFill="1" applyBorder="1"/>
    <x:xf numFmtId="0" fontId="0" fillId="17" borderId="49" xfId="0" applyNumberFormat="1" applyFont="1" applyFill="1" applyBorder="1"/>
    <x:xf numFmtId="0" fontId="30" fillId="17" borderId="49" xfId="0" applyNumberFormat="1" applyFont="1" applyFill="1" applyBorder="1"/>
    <x:xf numFmtId="0" fontId="30" fillId="17" borderId="49" xfId="0" applyNumberFormat="1" applyFont="1" applyFill="1" applyBorder="1" applyAlignment="1">
      <x:alignment wrapText="1"/>
    </x:xf>
    <x:xf numFmtId="0" fontId="31" fillId="0" borderId="45" xfId="0" applyNumberFormat="1" applyFont="1" applyFill="1" applyBorder="1"/>
    <x:xf numFmtId="0" fontId="31" fillId="0" borderId="48" xfId="0" applyNumberFormat="1" applyFont="1" applyFill="1" applyBorder="1"/>
    <x:xf numFmtId="0" fontId="31" fillId="0" borderId="51" xfId="0" applyNumberFormat="1" applyFont="1" applyFill="1" applyBorder="1"/>
    <x:xf numFmtId="0" fontId="32" fillId="0" borderId="47" xfId="0" applyNumberFormat="1" applyFont="1" applyFill="1" applyBorder="1"/>
    <x:xf numFmtId="0" fontId="32" fillId="0" borderId="50" xfId="0" applyNumberFormat="1" applyFont="1" applyFill="1" applyBorder="1"/>
    <x:xf numFmtId="0" fontId="32" fillId="0" borderId="53" xfId="0" applyNumberFormat="1" applyFont="1" applyFill="1" applyBorder="1"/>
    <x:xf numFmtId="0" fontId="32" fillId="0" borderId="47" xfId="0" applyNumberFormat="1" applyFont="1" applyFill="1" applyBorder="1" applyAlignment="1">
      <x:alignment wrapText="1"/>
    </x:xf>
    <x:xf numFmtId="0" fontId="32" fillId="0" borderId="50" xfId="0" applyNumberFormat="1" applyFont="1" applyFill="1" applyBorder="1" applyAlignment="1">
      <x:alignment wrapText="1"/>
    </x:xf>
    <x:xf numFmtId="0" fontId="32" fillId="0" borderId="53" xfId="0" applyNumberFormat="1" applyFont="1" applyFill="1" applyBorder="1" applyAlignment="1">
      <x:alignment wrapText="1"/>
    </x:xf>
    <x:xf numFmtId="0" fontId="31" fillId="0" borderId="45" xfId="0" applyNumberFormat="1" applyFont="1" applyFill="1" applyBorder="1" applyAlignment="1">
      <x:alignment vertical="center"/>
    </x:xf>
    <x:xf numFmtId="0" fontId="0" fillId="0" borderId="46" xfId="0" applyNumberFormat="1" applyFont="1" applyFill="1" applyBorder="1" applyAlignment="1">
      <x:alignment vertical="center"/>
    </x:xf>
    <x:xf numFmtId="0" fontId="32" fillId="0" borderId="47" xfId="0" applyNumberFormat="1" applyFont="1" applyFill="1" applyBorder="1" applyAlignment="1">
      <x:alignment vertical="center" wrapText="1"/>
    </x:xf>
    <x:xf numFmtId="0" fontId="30" fillId="21" borderId="46" xfId="0" applyNumberFormat="1" applyFont="1" applyFill="1" applyBorder="1" applyAlignment="1">
      <x:alignment vertical="center" wrapText="1"/>
    </x:xf>
    <x:xf numFmtId="0" fontId="31" fillId="0" borderId="48" xfId="0" applyNumberFormat="1" applyFont="1" applyFill="1" applyBorder="1" applyAlignment="1">
      <x:alignment vertical="center"/>
    </x:xf>
    <x:xf numFmtId="0" fontId="4" fillId="20" borderId="49" xfId="0" applyNumberFormat="1" applyFont="1" applyFill="1" applyBorder="1" applyAlignment="1">
      <x:alignment vertical="center"/>
    </x:xf>
    <x:xf numFmtId="0" fontId="32" fillId="0" borderId="50" xfId="0" applyNumberFormat="1" applyFont="1" applyFill="1" applyBorder="1" applyAlignment="1">
      <x:alignment vertical="center" wrapText="1"/>
    </x:xf>
    <x:xf numFmtId="0" fontId="0" fillId="0" borderId="49" xfId="0" applyNumberFormat="1" applyFont="1" applyFill="1" applyBorder="1" applyAlignment="1">
      <x:alignment vertical="center"/>
    </x:xf>
    <x:xf numFmtId="0" fontId="29" fillId="0" borderId="49" xfId="0" applyNumberFormat="1" applyFont="1" applyFill="1" applyBorder="1" applyAlignment="1">
      <x:alignment vertical="center"/>
    </x:xf>
    <x:xf numFmtId="0" fontId="0" fillId="22" borderId="49" xfId="0" applyNumberFormat="1" applyFont="1" applyFill="1" applyBorder="1" applyAlignment="1">
      <x:alignment vertical="center"/>
    </x:xf>
    <x:xf numFmtId="0" fontId="31" fillId="0" borderId="51" xfId="0" applyNumberFormat="1" applyFont="1" applyFill="1" applyBorder="1" applyAlignment="1">
      <x:alignment vertical="center"/>
    </x:xf>
    <x:xf numFmtId="0" fontId="4" fillId="20" borderId="52" xfId="0" applyNumberFormat="1" applyFont="1" applyFill="1" applyBorder="1" applyAlignment="1">
      <x:alignment vertical="center"/>
    </x:xf>
    <x:xf numFmtId="0" fontId="32" fillId="0" borderId="53" xfId="0" applyNumberFormat="1" applyFont="1" applyFill="1" applyBorder="1" applyAlignment="1">
      <x:alignment vertical="center" wrapText="1"/>
    </x:xf>
    <x:xf numFmtId="0" fontId="0" fillId="0" borderId="52" xfId="0" applyNumberFormat="1" applyFont="1" applyFill="1" applyBorder="1" applyAlignment="1">
      <x:alignment vertical="center"/>
    </x:xf>
    <x:xf numFmtId="0" fontId="0" fillId="19" borderId="49" xfId="0" applyNumberFormat="1" applyFont="1" applyFill="1" applyBorder="1" applyAlignment="1">
      <x:alignment vertical="center"/>
    </x:xf>
    <x:xf numFmtId="0" fontId="30" fillId="17" borderId="49" xfId="0" applyNumberFormat="1" applyFont="1" applyFill="1" applyBorder="1" applyAlignment="1">
      <x:alignment vertical="center" wrapText="1"/>
    </x:xf>
    <x:xf numFmtId="210" fontId="4" fillId="20" borderId="49" xfId="0" applyNumberFormat="1" applyFont="1" applyFill="1" applyBorder="1" applyAlignment="1">
      <x:alignment vertical="center"/>
    </x:xf>
    <x:xf numFmtId="204" fontId="4" fillId="20" borderId="49" xfId="0" applyNumberFormat="1" applyFont="1" applyFill="1" applyBorder="1" applyAlignment="1">
      <x:alignment vertical="center"/>
    </x:xf>
    <x:xf numFmtId="202" fontId="29" fillId="0" borderId="49" xfId="0" applyNumberFormat="1" applyFont="1" applyFill="1" applyBorder="1" applyAlignment="1">
      <x:alignment vertical="center"/>
    </x:xf>
    <x:xf numFmtId="211" fontId="4" fillId="20" borderId="49" xfId="0" applyNumberFormat="1" applyFont="1" applyFill="1" applyBorder="1" applyAlignment="1">
      <x:alignment vertical="center"/>
    </x:xf>
    <x:xf numFmtId="212" fontId="29" fillId="0" borderId="49" xfId="0" applyNumberFormat="1" applyFont="1" applyFill="1" applyBorder="1" applyAlignment="1">
      <x:alignment vertical="center"/>
    </x:xf>
    <x:xf numFmtId="204" fontId="4" fillId="20" borderId="52" xfId="0" applyNumberFormat="1" applyFont="1" applyFill="1" applyBorder="1" applyAlignment="1">
      <x:alignment vertical="center"/>
    </x:xf>
    <x:xf numFmtId="210" fontId="0" fillId="0" borderId="49" xfId="0" applyNumberFormat="1" applyFont="1" applyFill="1" applyBorder="1" applyAlignment="1">
      <x:alignment vertical="center"/>
    </x:xf>
    <x:xf numFmtId="211" fontId="0" fillId="0" borderId="49" xfId="0" applyNumberFormat="1" applyFont="1" applyFill="1" applyBorder="1" applyAlignment="1">
      <x:alignment vertical="center"/>
    </x:xf>
    <x:xf numFmtId="210" fontId="0" fillId="22" borderId="49" xfId="0" applyNumberFormat="1" applyFont="1" applyFill="1" applyBorder="1" applyAlignment="1">
      <x:alignment vertical="center"/>
    </x:xf>
    <x:xf numFmtId="204" fontId="0" fillId="22" borderId="49" xfId="0" applyNumberFormat="1" applyFont="1" applyFill="1" applyBorder="1" applyAlignment="1">
      <x:alignment vertical="center"/>
    </x:xf>
    <x:xf numFmtId="210" fontId="0" fillId="0" borderId="52" xfId="0" applyNumberFormat="1" applyFont="1" applyFill="1" applyBorder="1" applyAlignment="1">
      <x:alignment vertical="center"/>
    </x:xf>
    <x:xf numFmtId="210" fontId="0" fillId="19" borderId="49" xfId="0" applyNumberFormat="1" applyFont="1" applyFill="1" applyBorder="1" applyAlignment="1">
      <x:alignment vertical="center"/>
    </x:xf>
    <x:xf numFmtId="213" fontId="0" fillId="19" borderId="49" xfId="0" applyNumberFormat="1" applyFont="1" applyFill="1" applyBorder="1" applyAlignment="1">
      <x:alignment vertical="center"/>
    </x:xf>
    <x:xf numFmtId="212" fontId="0" fillId="19" borderId="49" xfId="0" applyNumberFormat="1" applyFont="1" applyFill="1" applyBorder="1" applyAlignment="1">
      <x:alignment vertical="center"/>
    </x:xf>
    <x:xf numFmtId="204" fontId="0" fillId="19" borderId="49" xfId="0" applyNumberFormat="1" applyFont="1" applyFill="1" applyBorder="1" applyAlignment="1">
      <x:alignment vertical="center"/>
    </x:xf>
    <x:xf numFmtId="0" fontId="31" fillId="0" borderId="45" xfId="0" applyNumberFormat="1" applyFont="1" applyFill="1" applyBorder="1" applyAlignment="1">
      <x:alignment vertical="center" wrapText="1"/>
    </x:xf>
    <x:xf numFmtId="0" fontId="0" fillId="0" borderId="46" xfId="0" applyNumberFormat="1" applyFont="1" applyFill="1" applyBorder="1" applyAlignment="1">
      <x:alignment vertical="center" wrapText="1"/>
    </x:xf>
    <x:xf numFmtId="0" fontId="31" fillId="0" borderId="48" xfId="0" applyNumberFormat="1" applyFont="1" applyFill="1" applyBorder="1" applyAlignment="1">
      <x:alignment vertical="center" wrapText="1"/>
    </x:xf>
    <x:xf numFmtId="210" fontId="4" fillId="20" borderId="49" xfId="0" applyNumberFormat="1" applyFont="1" applyFill="1" applyBorder="1" applyAlignment="1">
      <x:alignment vertical="center" wrapText="1"/>
    </x:xf>
    <x:xf numFmtId="210" fontId="0" fillId="0" borderId="49" xfId="0" applyNumberFormat="1" applyFont="1" applyFill="1" applyBorder="1" applyAlignment="1">
      <x:alignment vertical="center" wrapText="1"/>
    </x:xf>
    <x:xf numFmtId="0" fontId="4" fillId="20" borderId="49" xfId="0" applyNumberFormat="1" applyFont="1" applyFill="1" applyBorder="1" applyAlignment="1">
      <x:alignment vertical="center" wrapText="1"/>
    </x:xf>
    <x:xf numFmtId="204" fontId="4" fillId="20" borderId="49" xfId="0" applyNumberFormat="1" applyFont="1" applyFill="1" applyBorder="1" applyAlignment="1">
      <x:alignment vertical="center" wrapText="1"/>
    </x:xf>
    <x:xf numFmtId="211" fontId="0" fillId="0" borderId="49" xfId="0" applyNumberFormat="1" applyFont="1" applyFill="1" applyBorder="1" applyAlignment="1">
      <x:alignment vertical="center" wrapText="1"/>
    </x:xf>
    <x:xf numFmtId="202" fontId="29" fillId="0" borderId="49" xfId="0" applyNumberFormat="1" applyFont="1" applyFill="1" applyBorder="1" applyAlignment="1">
      <x:alignment vertical="center" wrapText="1"/>
    </x:xf>
    <x:xf numFmtId="211" fontId="4" fillId="20" borderId="49" xfId="0" applyNumberFormat="1" applyFont="1" applyFill="1" applyBorder="1" applyAlignment="1">
      <x:alignment vertical="center" wrapText="1"/>
    </x:xf>
    <x:xf numFmtId="212" fontId="29" fillId="0" borderId="49" xfId="0" applyNumberFormat="1" applyFont="1" applyFill="1" applyBorder="1" applyAlignment="1">
      <x:alignment vertical="center" wrapText="1"/>
    </x:xf>
    <x:xf numFmtId="210" fontId="0" fillId="22" borderId="49" xfId="0" applyNumberFormat="1" applyFont="1" applyFill="1" applyBorder="1" applyAlignment="1">
      <x:alignment vertical="center" wrapText="1"/>
    </x:xf>
    <x:xf numFmtId="204" fontId="0" fillId="22" borderId="49" xfId="0" applyNumberFormat="1" applyFont="1" applyFill="1" applyBorder="1" applyAlignment="1">
      <x:alignment vertical="center" wrapText="1"/>
    </x:xf>
    <x:xf numFmtId="0" fontId="0" fillId="0" borderId="49" xfId="0" applyNumberFormat="1" applyFont="1" applyFill="1" applyBorder="1" applyAlignment="1">
      <x:alignment vertical="center" wrapText="1"/>
    </x:xf>
    <x:xf numFmtId="0" fontId="31" fillId="0" borderId="51" xfId="0" applyNumberFormat="1" applyFont="1" applyFill="1" applyBorder="1" applyAlignment="1">
      <x:alignment vertical="center" wrapText="1"/>
    </x:xf>
    <x:xf numFmtId="204" fontId="4" fillId="20" borderId="52" xfId="0" applyNumberFormat="1" applyFont="1" applyFill="1" applyBorder="1" applyAlignment="1">
      <x:alignment vertical="center" wrapText="1"/>
    </x:xf>
    <x:xf numFmtId="210" fontId="0" fillId="0" borderId="52" xfId="0" applyNumberFormat="1" applyFont="1" applyFill="1" applyBorder="1" applyAlignment="1">
      <x:alignment vertical="center" wrapText="1"/>
    </x:xf>
    <x:xf numFmtId="0" fontId="28" fillId="18" borderId="0" xfId="0" applyNumberFormat="1" applyFont="1" applyFill="1" applyBorder="1" applyAlignment="1">
      <x:alignment vertical="center" wrapText="1"/>
    </x:xf>
    <x:xf numFmtId="0" fontId="0" fillId="19" borderId="49" xfId="0" applyNumberFormat="1" applyFont="1" applyFill="1" applyBorder="1" applyAlignment="1">
      <x:alignment vertical="center" wrapText="1"/>
    </x:xf>
    <x:xf numFmtId="210" fontId="0" fillId="19" borderId="49" xfId="0" applyNumberFormat="1" applyFont="1" applyFill="1" applyBorder="1" applyAlignment="1">
      <x:alignment vertical="center" wrapText="1"/>
    </x:xf>
    <x:xf numFmtId="213" fontId="0" fillId="19" borderId="49" xfId="0" applyNumberFormat="1" applyFont="1" applyFill="1" applyBorder="1" applyAlignment="1">
      <x:alignment vertical="center" wrapText="1"/>
    </x:xf>
    <x:xf numFmtId="212" fontId="0" fillId="19" borderId="49" xfId="0" applyNumberFormat="1" applyFont="1" applyFill="1" applyBorder="1" applyAlignment="1">
      <x:alignment vertical="center" wrapText="1"/>
    </x:xf>
    <x:xf numFmtId="204" fontId="0" fillId="19" borderId="4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3">
    <x:dxf>
      <x:font>
        <x:b/>
        <x:color rgb="FFB42318"/>
      </x:font>
      <x:fill>
        <x:patternFill>
          <x:bgColor rgb="FFFDE7E3"/>
        </x:patternFill>
      </x:fill>
    </x:dxf>
    <x:dxf>
      <x:font>
        <x:b/>
        <x:color rgb="FF28251F"/>
      </x:font>
      <x:fill>
        <x:patternFill>
          <x:bgColor rgb="FFFFF4BF"/>
        </x:patternFill>
      </x:fill>
    </x:dxf>
    <x:dxf>
      <x:font>
        <x:b/>
        <x:color rgb="FFB42318"/>
      </x:font>
      <x:fill>
        <x:patternFill>
          <x:bgColor rgb="FFFDE7E3"/>
        </x:patternFill>
      </x:fill>
    </x:dxf>
    <x:dxf>
      <x:font>
        <x:b/>
        <x:color rgb="FF28251F"/>
      </x:font>
      <x:fill>
        <x:patternFill>
          <x:bgColor rgb="FFFFF4BF"/>
        </x:patternFill>
      </x:fill>
    </x:dxf>
    <x:dxf>
      <x:font>
        <x:b/>
        <x:color rgb="FF2E7D5B"/>
      </x:font>
      <x:fill>
        <x:patternFill>
          <x:bgColor rgb="FFDFF3E8"/>
        </x:patternFill>
      </x:fill>
    </x:dxf>
    <x:dxf>
      <x:font>
        <x:b/>
        <x:color rgb="FFB42318"/>
      </x:font>
      <x:fill>
        <x:patternFill>
          <x:bgColor rgb="FFFDE7E3"/>
        </x:patternFill>
      </x:fill>
    </x:dxf>
    <x:dxf>
      <x:font>
        <x:b/>
        <x:color rgb="FFB42318"/>
      </x:font>
      <x:fill>
        <x:patternFill>
          <x:bgColor rgb="FFFDE7E3"/>
        </x:patternFill>
      </x:fill>
    </x:dxf>
    <x:dxf>
      <x:font>
        <x:b/>
        <x:color rgb="FFB42318"/>
      </x:font>
      <x:fill>
        <x:patternFill>
          <x:bgColor rgb="FFFDE7E3"/>
        </x:patternFill>
      </x:fill>
    </x:dxf>
    <x:dxf>
      <x:font>
        <x:b/>
        <x:color rgb="FF2E7D5B"/>
      </x:font>
      <x:fill>
        <x:patternFill>
          <x:bgColor rgb="FFDFF3E8"/>
        </x:patternFill>
      </x:fill>
    </x:dxf>
    <x:dxf>
      <x:font>
        <x:color rgb="FF28251F"/>
      </x:font>
      <x:fill>
        <x:patternFill>
          <x:bgColor rgb="FFFFF4BF"/>
        </x:patternFill>
      </x:fill>
    </x:dxf>
    <x:dxf>
      <x:font>
        <x:color rgb="FFB42318"/>
      </x:font>
      <x:fill>
        <x:patternFill>
          <x:bgColor rgb="FFFDE7E3"/>
        </x:patternFill>
      </x:fill>
    </x:dxf>
    <x:dxf>
      <x:font>
        <x:b/>
        <x:color rgb="FF2E7D5B"/>
      </x:font>
      <x:fill>
        <x:patternFill>
          <x:bgColor rgb="FFDFF3E8"/>
        </x:patternFill>
      </x:fill>
    </x:dxf>
    <x:dxf>
      <x:font>
        <x:b/>
        <x:color rgb="FFB42318"/>
      </x:font>
      <x:fill>
        <x:patternFill>
          <x:bgColor rgb="FFFDE7E3"/>
        </x:patternFill>
      </x:fill>
    </x:dxf>
    <x:dxf>
      <x:font>
        <x:b/>
        <x:color rgb="FF2E7D5B"/>
      </x:font>
      <x:fill>
        <x:patternFill>
          <x:bgColor rgb="FFDFF3E8"/>
        </x:patternFill>
      </x:fill>
    </x:dxf>
    <x:dxf>
      <x:font>
        <x:b/>
        <x:color rgb="FFB42318"/>
      </x:font>
      <x:fill>
        <x:patternFill>
          <x:bgColor rgb="FFFDE7E3"/>
        </x:patternFill>
      </x:fill>
    </x:dxf>
    <x:dxf>
      <x:font>
        <x:b/>
        <x:color rgb="FFC43D3D"/>
      </x:font>
      <x:fill>
        <x:patternFill>
          <x:bgColor rgb="FFFCE8E6"/>
        </x:patternFill>
      </x:fill>
    </x:dxf>
    <x:dxf>
      <x:font>
        <x:color rgb="FF247D55"/>
      </x:font>
      <x:fill>
        <x:patternFill>
          <x:bgColor rgb="FFE4F4EA"/>
        </x:patternFill>
      </x:fill>
    </x:dxf>
    <x:dxf>
      <x:font>
        <x:b/>
        <x:color rgb="FFC43D3D"/>
      </x:font>
      <x:fill>
        <x:patternFill>
          <x:bgColor rgb="FFFCE8E6"/>
        </x:patternFill>
      </x:fill>
    </x:dxf>
    <x:dxf>
      <x:font>
        <x:color rgb="FF247D55"/>
      </x:font>
      <x:fill>
        <x:patternFill>
          <x:bgColor rgb="FFE4F4EA"/>
        </x:patternFill>
      </x:fill>
    </x:dxf>
    <x:dxf>
      <x:font>
        <x:b/>
        <x:color rgb="FFC43D3D"/>
      </x:font>
      <x:fill>
        <x:patternFill>
          <x:bgColor rgb="FFFCE8E6"/>
        </x:patternFill>
      </x:fill>
    </x:dxf>
    <x:dxf>
      <x:font>
        <x:b/>
        <x:color rgb="FFC43D3D"/>
      </x:font>
      <x:fill>
        <x:patternFill>
          <x:bgColor rgb="FFFCE8E6"/>
        </x:patternFill>
      </x:fill>
    </x:dxf>
    <x:dxf>
      <x:font>
        <x:color rgb="FF247D55"/>
      </x:font>
      <x:fill>
        <x:patternFill>
          <x:bgColor rgb="FFE4F4EA"/>
        </x:patternFill>
      </x:fill>
    </x:dxf>
    <x:dxf>
      <x:font>
        <x:color rgb="FF247D55"/>
      </x:font>
      <x:fill>
        <x:patternFill>
          <x:bgColor rgb="FFE4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425831739746be" /><Relationship Type="http://schemas.openxmlformats.org/officeDocument/2006/relationships/theme" Target="/xl/theme/theme1.xml" Id="R51fb7d08ccf34230" /><Relationship Type="http://schemas.openxmlformats.org/officeDocument/2006/relationships/sharedStrings" Target="/xl/sharedStrings.xml" Id="R31a907bb6c474d1a" /><Relationship Type="http://schemas.openxmlformats.org/officeDocument/2006/relationships/worksheet" Target="/xl/worksheets/sheet1.xml" Id="R142b67e4cb8d4037" /><Relationship Type="http://schemas.openxmlformats.org/officeDocument/2006/relationships/worksheet" Target="/xl/worksheets/sheet2.xml" Id="Rdaf026da4b1342fb" /><Relationship Type="http://schemas.openxmlformats.org/officeDocument/2006/relationships/worksheet" Target="/xl/worksheets/sheet3.xml" Id="Rbcc00e2104c84d69" /><Relationship Type="http://schemas.openxmlformats.org/officeDocument/2006/relationships/worksheet" Target="/xl/worksheets/sheet4.xml" Id="R9f8b85db7bed4f83" /><Relationship Type="http://schemas.openxmlformats.org/officeDocument/2006/relationships/worksheet" Target="/xl/worksheets/sheet5.xml" Id="Rc993e4be9a0e4347" /><Relationship Type="http://schemas.openxmlformats.org/officeDocument/2006/relationships/worksheet" Target="/xl/worksheets/sheet6.xml" Id="Rc0aabaacd58e4b0a" /><Relationship Type="http://schemas.openxmlformats.org/officeDocument/2006/relationships/worksheet" Target="/xl/worksheets/sheet7.xml" Id="Rdbfc9b4ea21a4420" /><Relationship Type="http://schemas.openxmlformats.org/officeDocument/2006/relationships/worksheet" Target="/xl/worksheets/sheet8.xml" Id="R9d0ce4854eb7417f" /><Relationship Type="http://schemas.openxmlformats.org/officeDocument/2006/relationships/worksheet" Target="/xl/worksheets/sheet9.xml" Id="Rd48c454f5cb0404d" /><Relationship Type="http://schemas.openxmlformats.org/officeDocument/2006/relationships/worksheet" Target="/xl/worksheets/sheet10.xml" Id="R5be8a29ed0774fc9" /><Relationship Type="http://schemas.openxmlformats.org/officeDocument/2006/relationships/worksheet" Target="/xl/worksheets/sheet11.xml" Id="Ra6d51e04776947d3" /><Relationship Type="http://schemas.microsoft.com/office/2017/10/relationships/person" Target="/xl/persons/person.xml" Id="R84f0dfc758214a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99563ccd7e4d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累计现金利润与目标进度（CNY）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累计现金利润</c:v>
          </c:tx>
          <c:spPr>
            <a:ln xmlns:a="http://schemas.openxmlformats.org/drawingml/2006/main" w="23813">
              <a:solidFill>
                <a:srgbClr val="2E7D5B"/>
              </a:solidFill>
            </a:ln>
          </c:spPr>
          <c:marker>
            <c:symbol val="none"/>
          </c:marker>
          <c:cat>
            <c:strRef>
              <c:f>'周度看板'!$N$18:$N$36</c:f>
              <c:strCache>
                <c:ptCount val="0"/>
              </c:strCache>
            </c:strRef>
          </c:cat>
          <c:val>
            <c:numRef>
              <c:f>'周度看板'!$O$18:$O$36</c:f>
              <c:numCache>
                <c:formatCode>CNY 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目标进度</c:v>
          </c:tx>
          <c:spPr>
            <a:ln xmlns:a="http://schemas.openxmlformats.org/drawingml/2006/main" w="23813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'周度看板'!$N$18:$N$36</c:f>
              <c:strCache>
                <c:ptCount val="0"/>
              </c:strCache>
            </c:strRef>
          </c:cat>
          <c:val>
            <c:numRef>
              <c:f>'周度看板'!$P$18:$P$36</c:f>
              <c:numCache>
                <c:formatCode>CNY 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CNY 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99563ccd7e4d7e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109C7B9C-AF91-4083-AC4B-FDE9B45F7810}"/>
</xltc:personList>
</file>

<file path=xl/tables/table1.xml><?xml version="1.0" encoding="utf-8"?>
<x:table xmlns:x="http://schemas.openxmlformats.org/spreadsheetml/2006/main" id="1" name="MarketReferenceTable" displayName="MarketReferenceTable" ref="A4:I16" headerRowCount="1" totalsRowCount="0" totalsRowShown="0">
  <x:autoFilter ref="A4:I16"/>
  <x:tableColumns count="9">
    <x:tableColumn id="1" name="机构/服务"/>
    <x:tableColumn id="2" name="公开项目"/>
    <x:tableColumn id="3" name="价格（JPY）"/>
    <x:tableColumn id="4" name="单位"/>
    <x:tableColumn id="5" name="规划折算CNY"/>
    <x:tableColumn id="6" name="研究日期"/>
    <x:tableColumn id="7" name="来源URL"/>
    <x:tableColumn id="8" name="证据类型"/>
    <x:tableColumn id="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fferTestTable" displayName="OfferTestTable" ref="A4:R13" headerRowCount="1" totalsRowCount="0" totalsRowShown="0">
  <x:autoFilter ref="A4:R13"/>
  <x:tableColumns count="18">
    <x:tableColumn id="1" name="编号"/>
    <x:tableColumn id="2" name="服务候选"/>
    <x:tableColumn id="3" name="档位"/>
    <x:tableColumn id="4" name="验证状态"/>
    <x:tableColumn id="5" name="计价单位"/>
    <x:tableColumn id="6" name="净服务价JPY"/>
    <x:tableColumn id="7" name="折算CNY"/>
    <x:tableColumn id="8" name="工时上限"/>
    <x:tableColumn id="9" name="外部/获客/支付费CNY"/>
    <x:tableColumn id="10" name="目标现金贡献率"/>
    <x:tableColumn id="11" name="订单现金贡献"/>
    <x:tableColumn id="12" name="现金贡献率"/>
    <x:tableColumn id="13" name="订单经济贡献"/>
    <x:tableColumn id="14" name="经济贡献率"/>
    <x:tableColumn id="15" name="证据级别"/>
    <x:tableColumn id="16" name="首先验证什么"/>
    <x:tableColumn id="17" name="边界/备注"/>
    <x:tableColumn id="18" name="压力结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adPipelineTable" displayName="LeadPipelineTable" ref="A4:Q54" headerRowCount="1" totalsRowCount="0" totalsRowShown="0">
  <x:autoFilter ref="A4:Q54"/>
  <x:tableColumns count="17">
    <x:tableColumn id="1" name="线索ID"/>
    <x:tableColumn id="2" name="创建日期"/>
    <x:tableColumn id="3" name="公司/店铺"/>
    <x:tableColumn id="4" name="城市"/>
    <x:tableColumn id="5" name="行业"/>
    <x:tableColumn id="6" name="来源"/>
    <x:tableColumn id="7" name="中文需求信号"/>
    <x:tableColumn id="8" name="决策人"/>
    <x:tableColumn id="9" name="具体问题"/>
    <x:tableColumn id="10" name="预算状态"/>
    <x:tableColumn id="11" name="希望开始"/>
    <x:tableColumn id="12" name="阶段"/>
    <x:tableColumn id="13" name="下一动作"/>
    <x:tableColumn id="14" name="下一动作日期"/>
    <x:tableColumn id="15" name="跟进状态"/>
    <x:tableColumn id="16" name="负责人"/>
    <x:tableColumn id="17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oteTable" displayName="QuoteTable" ref="A4:T54" headerRowCount="1" totalsRowCount="0" totalsRowShown="0">
  <x:autoFilter ref="A4:T54"/>
  <x:tableColumns count="20">
    <x:tableColumn id="1" name="报价ID"/>
    <x:tableColumn id="2" name="线索ID"/>
    <x:tableColumn id="3" name="报价日期"/>
    <x:tableColumn id="4" name="服务/范围"/>
    <x:tableColumn id="5" name="币种"/>
    <x:tableColumn id="6" name="净服务金额（原币）"/>
    <x:tableColumn id="7" name="换算率→CNY"/>
    <x:tableColumn id="8" name="净服务收入CNY"/>
    <x:tableColumn id="9" name="预计直接/支付成本"/>
    <x:tableColumn id="10" name="预计工时"/>
    <x:tableColumn id="11" name="小时成本"/>
    <x:tableColumn id="12" name="获客成本"/>
    <x:tableColumn id="13" name="预计订单经济贡献"/>
    <x:tableColumn id="14" name="经济贡献率"/>
    <x:tableColumn id="15" name="订金比例"/>
    <x:tableColumn id="16" name="订金CNY"/>
    <x:tableColumn id="17" name="订金到账日"/>
    <x:tableColumn id="18" name="有效期至"/>
    <x:tableColumn id="19" name="状态"/>
    <x:tableColumn id="20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jectProfitTable" displayName="ProjectProfitTable" ref="A4:T54" headerRowCount="1" totalsRowCount="0" totalsRowShown="0">
  <x:autoFilter ref="A4:T54"/>
  <x:tableColumns count="20">
    <x:tableColumn id="1" name="项目ID"/>
    <x:tableColumn id="2" name="报价ID"/>
    <x:tableColumn id="3" name="客户"/>
    <x:tableColumn id="4" name="开始日"/>
    <x:tableColumn id="5" name="计划结束"/>
    <x:tableColumn id="6" name="状态"/>
    <x:tableColumn id="7" name="合同额CNY"/>
    <x:tableColumn id="8" name="已回款"/>
    <x:tableColumn id="9" name="直接/支付成本"/>
    <x:tableColumn id="10" name="获客成本"/>
    <x:tableColumn id="11" name="创始人工时"/>
    <x:tableColumn id="12" name="小时成本"/>
    <x:tableColumn id="13" name="人工成本"/>
    <x:tableColumn id="14" name="项目现金贡献"/>
    <x:tableColumn id="15" name="项目经济贡献"/>
    <x:tableColumn id="16" name="经济贡献率"/>
    <x:tableColumn id="17" name="应收款"/>
    <x:tableColumn id="18" name="按时交付"/>
    <x:tableColumn id="19" name="证据公开授权"/>
    <x:tableColumn id="20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shLedgerTable" displayName="CashLedgerTable" ref="A4:L104" headerRowCount="1" totalsRowCount="0" totalsRowShown="0">
  <x:autoFilter ref="A4:L104"/>
  <x:tableColumns count="12">
    <x:tableColumn id="1" name="交易日期"/>
    <x:tableColumn id="2" name="类型"/>
    <x:tableColumn id="3" name="项目ID"/>
    <x:tableColumn id="4" name="对方"/>
    <x:tableColumn id="5" name="币种"/>
    <x:tableColumn id="6" name="原币金额"/>
    <x:tableColumn id="7" name="换算率→CNY"/>
    <x:tableColumn id="8" name="金额CNY"/>
    <x:tableColumn id="9" name="凭证/单号"/>
    <x:tableColumn id="10" name="支付状态"/>
    <x:tableColumn id="11" name="凭证链接"/>
    <x:tableColumn id="12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eeklyDashboardTable" displayName="WeeklyDashboardTable" ref="A17:L70" headerRowCount="1" totalsRowCount="0" totalsRowShown="0">
  <x:autoFilter ref="A17:L70"/>
  <x:tableColumns count="12">
    <x:tableColumn id="1" name="周开始"/>
    <x:tableColumn id="2" name="周结束"/>
    <x:tableColumn id="3" name="新增线索"/>
    <x:tableColumn id="4" name="合格线索"/>
    <x:tableColumn id="5" name="报价数"/>
    <x:tableColumn id="6" name="订金数"/>
    <x:tableColumn id="7" name="现金收入"/>
    <x:tableColumn id="8" name="现金成本"/>
    <x:tableColumn id="9" name="周现金利润"/>
    <x:tableColumn id="10" name="累计现金利润"/>
    <x:tableColumn id="11" name="目标进度"/>
    <x:tableColumn id="12" name="进度差额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hecksTable" displayName="ChecksTable" ref="A4:G13" headerRowCount="1" totalsRowCount="0" totalsRowShown="0">
  <x:autoFilter ref="A4:G13"/>
  <x:tableColumns count="7">
    <x:tableColumn id="1" name="检查项"/>
    <x:tableColumn id="2" name="实际"/>
    <x:tableColumn id="3" name="期望"/>
    <x:tableColumn id="4" name="差额/计数"/>
    <x:tableColumn id="5" name="容差"/>
    <x:tableColumn id="6" name="状态"/>
    <x:tableColumn id="7" name="修复位置/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944f96d20d4c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42545d3a3240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6e419339d347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3ebca9bfed40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70eea9c61c42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f24cf6f39643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6d9897bb5a6547ff" /><Relationship Type="http://schemas.openxmlformats.org/officeDocument/2006/relationships/table" Target="/xl/tables/table7.xml" Id="Rdfedeafbf88a4d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854cb2d61e47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38" hidden="0" customWidth="1"/>
    <x:col min="4" max="4" width="4" hidden="0" customWidth="1"/>
    <x:col min="5" max="5" width="27" hidden="0" customWidth="1"/>
    <x:col min="6" max="6" width="20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澜顷｜经营与利润管理台账</x:v>
      </x:c>
      <x:c r="B1" s="4" t="str">
        <x:v>澜顷｜经营与利润管理台账</x:v>
      </x:c>
      <x:c r="C1" s="4" t="str">
        <x:v>澜顷｜经营与利润管理台账</x:v>
      </x:c>
      <x:c r="D1" s="4" t="str">
        <x:v>澜顷｜经营与利润管理台账</x:v>
      </x:c>
      <x:c r="E1" s="4" t="str">
        <x:v>澜顷｜经营与利润管理台账</x:v>
      </x:c>
      <x:c r="F1" s="4" t="str">
        <x:v>澜顷｜经营与利润管理台账</x:v>
      </x:c>
      <x:c r="G1" s="4" t="str">
        <x:v>澜顷｜经营与利润管理台账</x:v>
      </x:c>
      <x:c r="H1" s="4" t="str">
        <x:v>澜顷｜经营与利润管理台账</x:v>
      </x:c>
    </x:row>
    <x:row r="2">
      <x:c r="A2" s="173" t="str">
        <x:v>内部管理用 v0.5｜只记录真实线索、报价、到账和实际成本；黄色/蓝字为需要填写或确认的输入。</x:v>
      </x:c>
      <x:c r="B2" s="173"/>
      <x:c r="C2" s="173"/>
      <x:c r="D2" s="173"/>
      <x:c r="E2" s="173"/>
      <x:c r="F2" s="173"/>
      <x:c r="G2" s="173"/>
      <x:c r="H2" s="173"/>
    </x:row>
    <x:row r="3">
      <x:c r="A3" s="174"/>
      <x:c r="B3" s="174"/>
      <x:c r="C3" s="174"/>
      <x:c r="D3" s="174"/>
      <x:c r="E3" s="174"/>
      <x:c r="F3" s="174"/>
      <x:c r="G3" s="174"/>
      <x:c r="H3" s="174"/>
    </x:row>
    <x:row r="4" ht="24" customHeight="1">
      <x:c r="A4" s="10" t="str">
        <x:v>模型口径与输入</x:v>
      </x:c>
      <x:c r="B4" s="10" t="str">
        <x:v>模型口径与输入</x:v>
      </x:c>
      <x:c r="C4" s="10" t="str">
        <x:v>模型口径与输入</x:v>
      </x:c>
      <x:c r="D4" s="174"/>
      <x:c r="E4" s="10" t="str">
        <x:v>实时经营结果</x:v>
      </x:c>
      <x:c r="F4" s="10" t="str">
        <x:v>实时经营结果</x:v>
      </x:c>
      <x:c r="G4" s="10" t="str">
        <x:v>实时经营结果</x:v>
      </x:c>
      <x:c r="H4" s="10" t="str">
        <x:v>实时经营结果</x:v>
      </x:c>
    </x:row>
    <x:row r="5">
      <x:c r="A5" s="175" t="str">
        <x:v>版本</x:v>
      </x:c>
      <x:c r="B5" s="176" t="str">
        <x:v>v0.5</x:v>
      </x:c>
      <x:c r="C5" s="177" t="str">
        <x:v>当前模板版本</x:v>
      </x:c>
      <x:c r="D5" s="174"/>
      <x:c r="E5" s="175" t="str">
        <x:v>实际已回款收入</x:v>
      </x:c>
      <x:c r="F5" s="178" t="n">
        <x:f>SUMIFS('现金流水'!$H$5:$H$104,'现金流水'!$B$5:$B$104,"收入",'现金流水'!$J$5:$J$104,"已到账")</x:f>
        <x:v>0</x:v>
      </x:c>
      <x:c r="G5" s="174"/>
      <x:c r="H5" s="174"/>
    </x:row>
    <x:row r="6">
      <x:c r="A6" s="179" t="str">
        <x:v>模型基准日</x:v>
      </x:c>
      <x:c r="B6" s="180" t="n">
        <x:v>46256</x:v>
      </x:c>
      <x:c r="C6" s="181" t="str">
        <x:v>刷新市场和经营数据时更新</x:v>
      </x:c>
      <x:c r="D6" s="174"/>
      <x:c r="E6" s="179" t="str">
        <x:v>实际已支付业务成本</x:v>
      </x:c>
      <x:c r="F6" s="182" t="n">
        <x:f>SUMIFS('现金流水'!$H$5:$H$104,'现金流水'!$B$5:$B$104,"直接成本",'现金流水'!$J$5:$J$104,"已支付")+SUMIFS('现金流水'!$H$5:$H$104,'现金流水'!$B$5:$B$104,"固定成本",'现金流水'!$J$5:$J$104,"已支付")+SUMIFS('现金流水'!$H$5:$H$104,'现金流水'!$B$5:$B$104,"退款",'现金流水'!$J$5:$J$104,"已支付")</x:f>
        <x:v>0</x:v>
      </x:c>
      <x:c r="G6" s="174"/>
      <x:c r="H6" s="174"/>
    </x:row>
    <x:row r="7">
      <x:c r="A7" s="179" t="str">
        <x:v>目标截止日</x:v>
      </x:c>
      <x:c r="B7" s="180" t="n">
        <x:v>46387</x:v>
      </x:c>
      <x:c r="C7" s="181" t="str">
        <x:v>用户目标</x:v>
      </x:c>
      <x:c r="D7" s="174"/>
      <x:c r="E7" s="179" t="str">
        <x:v>目标口径净利润</x:v>
      </x:c>
      <x:c r="F7" s="182" t="n">
        <x:f>$B$14+F5-F6-IF($B$11="是",F10,0)-IF($B$12="是",SUMIFS('现金流水'!$H$5:$H$104,'现金流水'!$B$5:$B$104,"税费",'现金流水'!$J$5:$J$104,"已支付"),0)</x:f>
        <x:v>0</x:v>
      </x:c>
      <x:c r="G7" s="174"/>
      <x:c r="H7" s="174"/>
    </x:row>
    <x:row r="8">
      <x:c r="A8" s="179" t="str">
        <x:v>目标净利润（CNY）</x:v>
      </x:c>
      <x:c r="B8" s="183" t="n">
        <x:v>100000</x:v>
      </x:c>
      <x:c r="C8" s="181" t="str">
        <x:v>已回款收入减实际业务成本</x:v>
      </x:c>
      <x:c r="D8" s="174"/>
      <x:c r="E8" s="179" t="str">
        <x:v>距离目标</x:v>
      </x:c>
      <x:c r="F8" s="182" t="n">
        <x:f>MAX(0,$B$8-F7)</x:f>
        <x:v>100000</x:v>
      </x:c>
      <x:c r="G8" s="174"/>
      <x:c r="H8" s="174"/>
    </x:row>
    <x:row r="9">
      <x:c r="A9" s="179" t="str">
        <x:v>主要目标口径</x:v>
      </x:c>
      <x:c r="B9" s="184" t="str">
        <x:v>已回款收入 - 已实际支付业务成本</x:v>
      </x:c>
      <x:c r="C9" s="181" t="str">
        <x:v>不把签约额或应收款当成利润</x:v>
      </x:c>
      <x:c r="D9" s="174"/>
      <x:c r="E9" s="179" t="str">
        <x:v>目标完成率</x:v>
      </x:c>
      <x:c r="F9" s="185" t="n">
        <x:f>IF($B$8=0,0,F7/$B$8)</x:f>
        <x:v>0</x:v>
      </x:c>
      <x:c r="G9" s="174"/>
      <x:c r="H9" s="174"/>
    </x:row>
    <x:row r="10">
      <x:c r="A10" s="179" t="str">
        <x:v>JPY→CNY 规划汇率</x:v>
      </x:c>
      <x:c r="B10" s="186" t="n">
        <x:v>0.05</x:v>
      </x:c>
      <x:c r="C10" s="181" t="str">
        <x:v>仅用于规划；实际核算请按选定规则更新</x:v>
      </x:c>
      <x:c r="D10" s="174"/>
      <x:c r="E10" s="179" t="str">
        <x:v>创始人工时成本</x:v>
      </x:c>
      <x:c r="F10" s="182" t="n">
        <x:f>SUM('项目与利润'!$M$5:$M$54)</x:f>
        <x:v>0</x:v>
      </x:c>
      <x:c r="G10" s="174"/>
      <x:c r="H10" s="174"/>
    </x:row>
    <x:row r="11">
      <x:c r="A11" s="179" t="str">
        <x:v>创始人工时计入正式目标</x:v>
      </x:c>
      <x:c r="B11" s="184" t="str">
        <x:v>待确认</x:v>
      </x:c>
      <x:c r="C11" s="181" t="str">
        <x:v>台账会另外显示订单/项目经济贡献</x:v>
      </x:c>
      <x:c r="D11" s="174"/>
      <x:c r="E11" s="179" t="str">
        <x:v>期间经济利润（参考）</x:v>
      </x:c>
      <x:c r="F11" s="182" t="n">
        <x:f>$B$14+F5-F6-F10-SUMIFS('现金流水'!$H$5:$H$104,'现金流水'!$B$5:$B$104,"税费",'现金流水'!$J$5:$J$104,"已支付")</x:f>
        <x:v>0</x:v>
      </x:c>
      <x:c r="G11" s="174"/>
      <x:c r="H11" s="174"/>
    </x:row>
    <x:row r="12">
      <x:c r="A12" s="179" t="str">
        <x:v>税费计入正式目标</x:v>
      </x:c>
      <x:c r="B12" s="184" t="str">
        <x:v>待确认</x:v>
      </x:c>
      <x:c r="C12" s="181" t="str">
        <x:v>税务处理需根据主体和所在地确认</x:v>
      </x:c>
      <x:c r="D12" s="174"/>
      <x:c r="E12" s="179" t="str">
        <x:v>经营窗口剩余周数</x:v>
      </x:c>
      <x:c r="F12" s="187" t="n">
        <x:f>MAX(0,ROUNDUP(($B$7-MAX($B$6,$B$13))/7,0))</x:f>
        <x:v>19</x:v>
      </x:c>
      <x:c r="G12" s="174"/>
      <x:c r="H12" s="174"/>
    </x:row>
    <x:row r="13">
      <x:c r="A13" s="179" t="str">
        <x:v>模型起始日</x:v>
      </x:c>
      <x:c r="B13" s="180" t="n">
        <x:v>46256</x:v>
      </x:c>
      <x:c r="C13" s="181" t="str">
        <x:v>默认从当前经营窗口开始，可修改</x:v>
      </x:c>
      <x:c r="D13" s="174"/>
      <x:c r="E13" s="174"/>
      <x:c r="F13" s="174"/>
      <x:c r="G13" s="174"/>
      <x:c r="H13" s="174"/>
    </x:row>
    <x:row r="14">
      <x:c r="A14" s="179" t="str">
        <x:v>起始已实现净利润（CNY）</x:v>
      </x:c>
      <x:c r="B14" s="183" t="n">
        <x:v>0</x:v>
      </x:c>
      <x:c r="C14" s="181" t="str">
        <x:v>如年内已有真实利润，请填写</x:v>
      </x:c>
      <x:c r="D14" s="174"/>
      <x:c r="E14" s="188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F14" s="189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G14" s="189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H14" s="190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</x:row>
    <x:row r="15">
      <x:c r="A15" s="179" t="str">
        <x:v>每周可投入工时</x:v>
      </x:c>
      <x:c r="B15" s="191" t="n">
        <x:v>0</x:v>
      </x:c>
      <x:c r="C15" s="181" t="str">
        <x:v>请填写真实可售与可交付时间</x:v>
      </x:c>
      <x:c r="D15" s="174"/>
      <x:c r="E15" s="192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F15" s="193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G15" s="193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H15" s="194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</x:row>
    <x:row r="16">
      <x:c r="A16" s="179" t="str">
        <x:v>创始人小时成本（CNY）</x:v>
      </x:c>
      <x:c r="B16" s="183" t="n">
        <x:v>0</x:v>
      </x:c>
      <x:c r="C16" s="181" t="str">
        <x:v>用于订单/项目经济贡献；请按你希望获得的合理时薪填写</x:v>
      </x:c>
      <x:c r="D16" s="174"/>
      <x:c r="E16" s="192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F16" s="193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G16" s="193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H16" s="194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</x:row>
    <x:row r="17" ht="30" customHeight="1">
      <x:c r="A17" s="174" t="str">
        <x:v>可用于交付的工时比例</x:v>
      </x:c>
      <x:c r="B17" s="248" t="n">
        <x:v>0</x:v>
      </x:c>
      <x:c r="C17" s="201" t="str">
        <x:v>请填写0–100%；其余时间用于销售、沟通、管理和休息</x:v>
      </x:c>
      <x:c r="D17" s="174"/>
      <x:c r="E17" s="195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F17" s="196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G17" s="196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  <x:c r="H17" s="197" t="str">
        <x:v>使用顺序
1. 在“说明与目标”确认口径、汇率、每周工时和创始人小时成本。
2. 在“线索”记录每次真实接触。
3. 报价前在“服务测试”与“报价”核算范围、工时和贡献利润。
4. 所有真实收付款只进入“现金流水”。
5. 每周查看“周度看板”和 Checks。</x:v>
      </x:c>
    </x:row>
  </x:sheetData>
  <x:mergeCells>
    <x:mergeCell ref="A1:H1"/>
    <x:mergeCell ref="A2:H2"/>
    <x:mergeCell ref="A4:C4"/>
    <x:mergeCell ref="E4:H4"/>
    <x:mergeCell ref="E14:H17"/>
  </x:mergeCells>
  <x:conditionalFormatting sqref="F9:F9">
    <x:cfRule type="colorScale" priority="1">
      <x:colorScale>
        <x:cfvo type="min"/>
        <x:cfvo type="percentile" val="50"/>
        <x:cfvo type="max"/>
        <x:color rgb="FFFDE7E3"/>
        <x:color rgb="FFFFF4BF"/>
        <x:color rgb="FFDFF3E8"/>
      </x:colorScale>
    </x:cfRule>
  </x:conditionalFormatting>
  <x:dataValidations count="4">
    <x:dataValidation type="decimal" operator="between" sqref="B17">
      <x:formula1>0</x:formula1>
      <x:formula2>1</x:formula2>
    </x:dataValidation>
    <x:dataValidation type="list" sqref="B11:B12">
      <x:formula1>"待确认,是,否"</x:formula1>
    </x:dataValidation>
    <x:dataValidation type="decimal" operator="between" sqref="B15">
      <x:formula1>0</x:formula1>
      <x:formula2>168</x:formula2>
    </x:dataValidation>
    <x:dataValidation type="decimal" operator="between" sqref="B16">
      <x:formula1>0</x:formula1>
      <x:formula2>100000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5" hidden="0" customWidth="1"/>
    <x:col min="4" max="4" width="11" hidden="0" customWidth="1"/>
    <x:col min="5" max="5" width="17" hidden="0" customWidth="1"/>
    <x:col min="6" max="6" width="14" hidden="0" customWidth="1"/>
    <x:col min="7" max="7" width="44" hidden="0" customWidth="1"/>
    <x:col min="8" max="8" width="16" hidden="0" customWidth="1"/>
    <x:col min="9" max="9" width="32" hidden="0" customWidth="1"/>
  </x:cols>
  <x:sheetData>
    <x:row r="1" ht="34" customHeight="1">
      <x:c r="A1" s="4" t="str">
        <x:v>市场公开价格参考｜仅用于结构与压力测试</x:v>
      </x:c>
      <x:c r="B1" s="4" t="str">
        <x:v>市场公开价格参考｜仅用于结构与压力测试</x:v>
      </x:c>
      <x:c r="C1" s="4" t="str">
        <x:v>市场公开价格参考｜仅用于结构与压力测试</x:v>
      </x:c>
      <x:c r="D1" s="4" t="str">
        <x:v>市场公开价格参考｜仅用于结构与压力测试</x:v>
      </x:c>
      <x:c r="E1" s="4" t="str">
        <x:v>市场公开价格参考｜仅用于结构与压力测试</x:v>
      </x:c>
      <x:c r="F1" s="4" t="str">
        <x:v>市场公开价格参考｜仅用于结构与压力测试</x:v>
      </x:c>
      <x:c r="G1" s="4" t="str">
        <x:v>市场公开价格参考｜仅用于结构与压力测试</x:v>
      </x:c>
      <x:c r="H1" s="4" t="str">
        <x:v>市场公开价格参考｜仅用于结构与压力测试</x:v>
      </x:c>
      <x:c r="I1" s="4" t="str">
        <x:v>市场公开价格参考｜仅用于结构与压力测试</x:v>
      </x:c>
    </x:row>
    <x:row r="2">
      <x:c r="A2" s="173" t="str">
        <x:v>公开标价不等于实际成交价，不同公司的交付范围不可直接比价。所有正式报价仍需基于本公司的真实工时、成本与客户价值。</x:v>
      </x:c>
      <x:c r="B2" s="173" t="str">
        <x:v>公开标价不等于实际成交价，不同公司的交付范围不可直接比价。所有正式报价仍需基于本公司的真实工时、成本与客户价值。</x:v>
      </x:c>
      <x:c r="C2" s="173" t="str">
        <x:v>公开标价不等于实际成交价，不同公司的交付范围不可直接比价。所有正式报价仍需基于本公司的真实工时、成本与客户价值。</x:v>
      </x:c>
      <x:c r="D2" s="173" t="str">
        <x:v>公开标价不等于实际成交价，不同公司的交付范围不可直接比价。所有正式报价仍需基于本公司的真实工时、成本与客户价值。</x:v>
      </x:c>
      <x:c r="E2" s="173" t="str">
        <x:v>公开标价不等于实际成交价，不同公司的交付范围不可直接比价。所有正式报价仍需基于本公司的真实工时、成本与客户价值。</x:v>
      </x:c>
      <x:c r="F2" s="173" t="str">
        <x:v>公开标价不等于实际成交价，不同公司的交付范围不可直接比价。所有正式报价仍需基于本公司的真实工时、成本与客户价值。</x:v>
      </x:c>
      <x:c r="G2" s="173" t="str">
        <x:v>公开标价不等于实际成交价，不同公司的交付范围不可直接比价。所有正式报价仍需基于本公司的真实工时、成本与客户价值。</x:v>
      </x:c>
      <x:c r="H2" s="173" t="str">
        <x:v>公开标价不等于实际成交价，不同公司的交付范围不可直接比价。所有正式报价仍需基于本公司的真实工时、成本与客户价值。</x:v>
      </x:c>
      <x:c r="I2" s="173" t="str">
        <x:v>公开标价不等于实际成交价，不同公司的交付范围不可直接比价。所有正式报价仍需基于本公司的真实工时、成本与客户价值。</x:v>
      </x:c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</x:row>
    <x:row r="4" ht="30" customHeight="1">
      <x:c r="A4" s="77" t="str">
        <x:v>机构/服务</x:v>
      </x:c>
      <x:c r="B4" s="78" t="str">
        <x:v>公开项目</x:v>
      </x:c>
      <x:c r="C4" s="78" t="str">
        <x:v>价格（JPY）</x:v>
      </x:c>
      <x:c r="D4" s="78" t="str">
        <x:v>单位</x:v>
      </x:c>
      <x:c r="E4" s="78" t="str">
        <x:v>规划折算CNY</x:v>
      </x:c>
      <x:c r="F4" s="78" t="str">
        <x:v>研究日期</x:v>
      </x:c>
      <x:c r="G4" s="78" t="str">
        <x:v>来源URL</x:v>
      </x:c>
      <x:c r="H4" s="78" t="str">
        <x:v>证据类型</x:v>
      </x:c>
      <x:c r="I4" s="79" t="str">
        <x:v>备注</x:v>
      </x:c>
    </x:row>
    <x:row r="5">
      <x:c r="A5" s="174" t="str">
        <x:v>RED Assistant</x:v>
      </x:c>
      <x:c r="B5" s="174" t="str">
        <x:v>Light</x:v>
      </x:c>
      <x:c r="C5" s="198" t="n">
        <x:v>55000</x:v>
      </x:c>
      <x:c r="D5" s="174" t="str">
        <x:v>月</x:v>
      </x:c>
      <x:c r="E5" s="199" t="n">
        <x:f>C5*'说明与目标'!$B$10</x:f>
        <x:v>2750</x:v>
      </x:c>
      <x:c r="F5" s="200" t="n">
        <x:v>46255</x:v>
      </x:c>
      <x:c r="G5" s="201" t="str">
        <x:v>https://redassistant.jp/</x:v>
      </x:c>
      <x:c r="H5" s="201" t="str">
        <x:v>官方公开页</x:v>
      </x:c>
      <x:c r="I5" s="201" t="str">
        <x:v>含税；4–6帖；至少6个月</x:v>
      </x:c>
    </x:row>
    <x:row r="6">
      <x:c r="A6" s="174" t="str">
        <x:v>RED Assistant</x:v>
      </x:c>
      <x:c r="B6" s="174" t="str">
        <x:v>Pro</x:v>
      </x:c>
      <x:c r="C6" s="198" t="n">
        <x:v>198000</x:v>
      </x:c>
      <x:c r="D6" s="174" t="str">
        <x:v>月</x:v>
      </x:c>
      <x:c r="E6" s="199" t="n">
        <x:f>C6*'说明与目标'!$B$10</x:f>
        <x:v>9900</x:v>
      </x:c>
      <x:c r="F6" s="200" t="n">
        <x:v>46255</x:v>
      </x:c>
      <x:c r="G6" s="201" t="str">
        <x:v>https://redassistant.jp/</x:v>
      </x:c>
      <x:c r="H6" s="201" t="str">
        <x:v>官方公开页</x:v>
      </x:c>
      <x:c r="I6" s="201" t="str">
        <x:v>含税；12帖；至少6个月</x:v>
      </x:c>
    </x:row>
    <x:row r="7">
      <x:c r="A7" s="174" t="str">
        <x:v>withera</x:v>
      </x:c>
      <x:c r="B7" s="174" t="str">
        <x:v>基础运营</x:v>
      </x:c>
      <x:c r="C7" s="198" t="n">
        <x:v>150000</x:v>
      </x:c>
      <x:c r="D7" s="174" t="str">
        <x:v>月</x:v>
      </x:c>
      <x:c r="E7" s="199" t="n">
        <x:f>C7*'说明与目标'!$B$10</x:f>
        <x:v>7500</x:v>
      </x:c>
      <x:c r="F7" s="200" t="n">
        <x:v>46255</x:v>
      </x:c>
      <x:c r="G7" s="201" t="str">
        <x:v>https://withera.co.jp/inbound-lp/</x:v>
      </x:c>
      <x:c r="H7" s="201" t="str">
        <x:v>官方公开页</x:v>
      </x:c>
      <x:c r="I7" s="201" t="str">
        <x:v>页面未注明税口径</x:v>
      </x:c>
    </x:row>
    <x:row r="8">
      <x:c r="A8" s="174" t="str">
        <x:v>withera</x:v>
      </x:c>
      <x:c r="B8" s="174" t="str">
        <x:v>中档运营</x:v>
      </x:c>
      <x:c r="C8" s="198" t="n">
        <x:v>230000</x:v>
      </x:c>
      <x:c r="D8" s="174" t="str">
        <x:v>月</x:v>
      </x:c>
      <x:c r="E8" s="199" t="n">
        <x:f>C8*'说明与目标'!$B$10</x:f>
        <x:v>11500</x:v>
      </x:c>
      <x:c r="F8" s="200" t="n">
        <x:v>46255</x:v>
      </x:c>
      <x:c r="G8" s="201" t="str">
        <x:v>https://withera.co.jp/inbound-lp/</x:v>
      </x:c>
      <x:c r="H8" s="201" t="str">
        <x:v>官方公开页</x:v>
      </x:c>
      <x:c r="I8" s="201" t="str">
        <x:v>页面未注明税口径</x:v>
      </x:c>
    </x:row>
    <x:row r="9">
      <x:c r="A9" s="174" t="str">
        <x:v>withera</x:v>
      </x:c>
      <x:c r="B9" s="174" t="str">
        <x:v>高档运营</x:v>
      </x:c>
      <x:c r="C9" s="198" t="n">
        <x:v>280000</x:v>
      </x:c>
      <x:c r="D9" s="174" t="str">
        <x:v>月</x:v>
      </x:c>
      <x:c r="E9" s="199" t="n">
        <x:f>C9*'说明与目标'!$B$10</x:f>
        <x:v>14000</x:v>
      </x:c>
      <x:c r="F9" s="200" t="n">
        <x:v>46255</x:v>
      </x:c>
      <x:c r="G9" s="201" t="str">
        <x:v>https://withera.co.jp/inbound-lp/</x:v>
      </x:c>
      <x:c r="H9" s="201" t="str">
        <x:v>官方公开页</x:v>
      </x:c>
      <x:c r="I9" s="201" t="str">
        <x:v>页面未注明税口径</x:v>
      </x:c>
    </x:row>
    <x:row r="10">
      <x:c r="A10" s="174" t="str">
        <x:v>withera</x:v>
      </x:c>
      <x:c r="B10" s="174" t="str">
        <x:v>初期设置</x:v>
      </x:c>
      <x:c r="C10" s="198" t="n">
        <x:v>200000</x:v>
      </x:c>
      <x:c r="D10" s="174" t="str">
        <x:v>一次</x:v>
      </x:c>
      <x:c r="E10" s="199" t="n">
        <x:f>C10*'说明与目标'!$B$10</x:f>
        <x:v>10000</x:v>
      </x:c>
      <x:c r="F10" s="200" t="n">
        <x:v>46255</x:v>
      </x:c>
      <x:c r="G10" s="201" t="str">
        <x:v>https://withera.co.jp/inbound-lp/</x:v>
      </x:c>
      <x:c r="H10" s="201" t="str">
        <x:v>官方公开页</x:v>
      </x:c>
      <x:c r="I10" s="201" t="str">
        <x:v>与月费分开；税口径未注明</x:v>
      </x:c>
    </x:row>
    <x:row r="11">
      <x:c r="A11" s="174" t="str">
        <x:v>takpa</x:v>
      </x:c>
      <x:c r="B11" s="174" t="str">
        <x:v>账号运营2帖</x:v>
      </x:c>
      <x:c r="C11" s="198" t="n">
        <x:v>80000</x:v>
      </x:c>
      <x:c r="D11" s="174" t="str">
        <x:v>月起</x:v>
      </x:c>
      <x:c r="E11" s="199" t="n">
        <x:f>C11*'说明与目标'!$B$10</x:f>
        <x:v>4000</x:v>
      </x:c>
      <x:c r="F11" s="200" t="n">
        <x:v>46255</x:v>
      </x:c>
      <x:c r="G11" s="201" t="str">
        <x:v>https://takpa-jp.com/?page_id=641</x:v>
      </x:c>
      <x:c r="H11" s="201" t="str">
        <x:v>官方公开页</x:v>
      </x:c>
      <x:c r="I11" s="201" t="str">
        <x:v>税别</x:v>
      </x:c>
    </x:row>
    <x:row r="12">
      <x:c r="A12" s="174" t="str">
        <x:v>takpa</x:v>
      </x:c>
      <x:c r="B12" s="174" t="str">
        <x:v>账号运营4帖</x:v>
      </x:c>
      <x:c r="C12" s="198" t="n">
        <x:v>160000</x:v>
      </x:c>
      <x:c r="D12" s="174" t="str">
        <x:v>月</x:v>
      </x:c>
      <x:c r="E12" s="199" t="n">
        <x:f>C12*'说明与目标'!$B$10</x:f>
        <x:v>8000</x:v>
      </x:c>
      <x:c r="F12" s="200" t="n">
        <x:v>46255</x:v>
      </x:c>
      <x:c r="G12" s="201" t="str">
        <x:v>https://takpa-jp.com/?page_id=641</x:v>
      </x:c>
      <x:c r="H12" s="201" t="str">
        <x:v>官方公开页</x:v>
      </x:c>
      <x:c r="I12" s="201" t="str">
        <x:v>税别</x:v>
      </x:c>
    </x:row>
    <x:row r="13">
      <x:c r="A13" s="174" t="str">
        <x:v>takpa</x:v>
      </x:c>
      <x:c r="B13" s="174" t="str">
        <x:v>账号运营10帖</x:v>
      </x:c>
      <x:c r="C13" s="198" t="n">
        <x:v>300000</x:v>
      </x:c>
      <x:c r="D13" s="174" t="str">
        <x:v>月</x:v>
      </x:c>
      <x:c r="E13" s="199" t="n">
        <x:f>C13*'说明与目标'!$B$10</x:f>
        <x:v>15000</x:v>
      </x:c>
      <x:c r="F13" s="200" t="n">
        <x:v>46255</x:v>
      </x:c>
      <x:c r="G13" s="201" t="str">
        <x:v>https://takpa-jp.com/?page_id=641</x:v>
      </x:c>
      <x:c r="H13" s="201" t="str">
        <x:v>官方公开页</x:v>
      </x:c>
      <x:c r="I13" s="201" t="str">
        <x:v>税别</x:v>
      </x:c>
    </x:row>
    <x:row r="14">
      <x:c r="A14" s="174" t="str">
        <x:v>takpa</x:v>
      </x:c>
      <x:c r="B14" s="174" t="str">
        <x:v>账号创建管理</x:v>
      </x:c>
      <x:c r="C14" s="198" t="n">
        <x:v>50000</x:v>
      </x:c>
      <x:c r="D14" s="174" t="str">
        <x:v>一次</x:v>
      </x:c>
      <x:c r="E14" s="199" t="n">
        <x:f>C14*'说明与目标'!$B$10</x:f>
        <x:v>2500</x:v>
      </x:c>
      <x:c r="F14" s="200" t="n">
        <x:v>46255</x:v>
      </x:c>
      <x:c r="G14" s="201" t="str">
        <x:v>https://takpa-jp.com/?page_id=410</x:v>
      </x:c>
      <x:c r="H14" s="201" t="str">
        <x:v>官方公开页</x:v>
      </x:c>
      <x:c r="I14" s="201" t="str">
        <x:v>税别；与运营分开</x:v>
      </x:c>
    </x:row>
    <x:row r="15">
      <x:c r="A15" s="174" t="str">
        <x:v>EPRESS MEO</x:v>
      </x:c>
      <x:c r="B15" s="174" t="str">
        <x:v>大众点评连接</x:v>
      </x:c>
      <x:c r="C15" s="198" t="n">
        <x:v>3500</x:v>
      </x:c>
      <x:c r="D15" s="174" t="str">
        <x:v>月</x:v>
      </x:c>
      <x:c r="E15" s="199" t="n">
        <x:f>C15*'说明与目标'!$B$10</x:f>
        <x:v>175</x:v>
      </x:c>
      <x:c r="F15" s="200" t="n">
        <x:v>46255</x:v>
      </x:c>
      <x:c r="G15" s="201" t="str">
        <x:v>https://www.epress-meo.com/engagement</x:v>
      </x:c>
      <x:c r="H15" s="201" t="str">
        <x:v>官方公开页</x:v>
      </x:c>
      <x:c r="I15" s="201" t="str">
        <x:v>替代工具成本；不是内容运营；税口径未注明</x:v>
      </x:c>
    </x:row>
    <x:row r="16">
      <x:c r="A16" s="174" t="str">
        <x:v>China AD</x:v>
      </x:c>
      <x:c r="B16" s="174" t="str">
        <x:v>完整运营参考</x:v>
      </x:c>
      <x:c r="C16" s="198" t="n">
        <x:v>300000</x:v>
      </x:c>
      <x:c r="D16" s="174" t="str">
        <x:v>月起</x:v>
      </x:c>
      <x:c r="E16" s="199" t="n">
        <x:f>C16*'说明与目标'!$B$10</x:f>
        <x:v>15000</x:v>
      </x:c>
      <x:c r="F16" s="200" t="n">
        <x:v>46255</x:v>
      </x:c>
      <x:c r="G16" s="201" t="str">
        <x:v>https://www.china-ad.jp/column/xiaohongshu-red-management-agency-cost/</x:v>
      </x:c>
      <x:c r="H16" s="201" t="str">
        <x:v>服务商自述</x:v>
      </x:c>
      <x:c r="I16" s="201" t="str">
        <x:v>不是全市场成交价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b944f96d20d4c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15" hidden="0" customWidth="1"/>
    <x:col min="4" max="4" width="14" hidden="0" customWidth="1"/>
    <x:col min="5" max="5" width="11" hidden="0" customWidth="1"/>
    <x:col min="6" max="6" width="15" hidden="0" customWidth="1"/>
    <x:col min="7" max="7" width="14" hidden="0" customWidth="1"/>
    <x:col min="8" max="8" width="13" hidden="0" customWidth="1"/>
    <x:col min="9" max="9" width="22" hidden="0" customWidth="1"/>
    <x:col min="10" max="10" width="17" hidden="0" customWidth="1"/>
    <x:col min="11" max="11" width="17" hidden="0" customWidth="1"/>
    <x:col min="12" max="12" width="14" hidden="0" customWidth="1"/>
    <x:col min="13" max="13" width="17" hidden="0" customWidth="1"/>
    <x:col min="14" max="14" width="14" hidden="0" customWidth="1"/>
    <x:col min="15" max="15" width="24" hidden="0" customWidth="1"/>
    <x:col min="16" max="16" width="38" hidden="0" customWidth="1"/>
    <x:col min="17" max="17" width="46" hidden="0" customWidth="1"/>
    <x:col min="18" max="18" width="20" hidden="0" customWidth="1"/>
    <x:col min="19" max="19" width="15" hidden="0" customWidth="1"/>
    <x:col min="20" max="20" width="34" hidden="0" customWidth="1"/>
    <x:col min="21" max="21" width="20" hidden="0" customWidth="1"/>
  </x:cols>
  <x:sheetData>
    <x:row r="1" ht="34" customHeight="1">
      <x:c r="A1" s="4" t="str">
        <x:v>服务测试｜价格与工时必须成对验证</x:v>
      </x:c>
      <x:c r="B1" s="4" t="str">
        <x:v>服务测试｜价格与工时必须成对验证</x:v>
      </x:c>
      <x:c r="C1" s="4" t="str">
        <x:v>服务测试｜价格与工时必须成对验证</x:v>
      </x:c>
      <x:c r="D1" s="4" t="str">
        <x:v>服务测试｜价格与工时必须成对验证</x:v>
      </x:c>
      <x:c r="E1" s="4" t="str">
        <x:v>服务测试｜价格与工时必须成对验证</x:v>
      </x:c>
      <x:c r="F1" s="4" t="str">
        <x:v>服务测试｜价格与工时必须成对验证</x:v>
      </x:c>
      <x:c r="G1" s="4" t="str">
        <x:v>服务测试｜价格与工时必须成对验证</x:v>
      </x:c>
      <x:c r="H1" s="4" t="str">
        <x:v>服务测试｜价格与工时必须成对验证</x:v>
      </x:c>
      <x:c r="I1" s="4" t="str">
        <x:v>服务测试｜价格与工时必须成对验证</x:v>
      </x:c>
      <x:c r="J1" s="4" t="str">
        <x:v>服务测试｜价格与工时必须成对验证</x:v>
      </x:c>
      <x:c r="K1" s="4" t="str">
        <x:v>服务测试｜价格与工时必须成对验证</x:v>
      </x:c>
      <x:c r="L1" s="4" t="str">
        <x:v>服务测试｜价格与工时必须成对验证</x:v>
      </x:c>
      <x:c r="M1" s="4" t="str">
        <x:v>服务测试｜价格与工时必须成对验证</x:v>
      </x:c>
      <x:c r="N1" s="4" t="str">
        <x:v>服务测试｜价格与工时必须成对验证</x:v>
      </x:c>
      <x:c r="O1" s="4" t="str">
        <x:v>服务测试｜价格与工时必须成对验证</x:v>
      </x:c>
      <x:c r="P1" s="4" t="str">
        <x:v>服务测试｜价格与工时必须成对验证</x:v>
      </x:c>
      <x:c r="Q1" s="4" t="str">
        <x:v>服务测试｜价格与工时必须成对验证</x:v>
      </x:c>
      <x:c r="R1" s="4" t="str">
        <x:v>服务测试｜价格与工时必须成对验证</x:v>
      </x:c>
    </x:row>
    <x:row r="2">
      <x:c r="A2" s="173" t="str">
        <x:v>统一按税别净服务收入规划；先填创始人小时成本，再核算订单经济贡献。每个服务分别获得真实付费证据前，不写成官网正式价格。</x:v>
      </x:c>
      <x:c r="B2" s="173" t="str">
        <x:v>统一按税别净服务收入规划；先填创始人小时成本，再核算订单经济贡献。每个服务分别获得真实付费证据前，不写成官网正式价格。</x:v>
      </x:c>
      <x:c r="C2" s="173" t="str">
        <x:v>统一按税别净服务收入规划；先填创始人小时成本，再核算订单经济贡献。每个服务分别获得真实付费证据前，不写成官网正式价格。</x:v>
      </x:c>
      <x:c r="D2" s="173" t="str">
        <x:v>统一按税别净服务收入规划；先填创始人小时成本，再核算订单经济贡献。每个服务分别获得真实付费证据前，不写成官网正式价格。</x:v>
      </x:c>
      <x:c r="E2" s="173" t="str">
        <x:v>统一按税别净服务收入规划；先填创始人小时成本，再核算订单经济贡献。每个服务分别获得真实付费证据前，不写成官网正式价格。</x:v>
      </x:c>
      <x:c r="F2" s="173" t="str">
        <x:v>统一按税别净服务收入规划；先填创始人小时成本，再核算订单经济贡献。每个服务分别获得真实付费证据前，不写成官网正式价格。</x:v>
      </x:c>
      <x:c r="G2" s="173" t="str">
        <x:v>统一按税别净服务收入规划；先填创始人小时成本，再核算订单经济贡献。每个服务分别获得真实付费证据前，不写成官网正式价格。</x:v>
      </x:c>
      <x:c r="H2" s="173" t="str">
        <x:v>统一按税别净服务收入规划；先填创始人小时成本，再核算订单经济贡献。每个服务分别获得真实付费证据前，不写成官网正式价格。</x:v>
      </x:c>
      <x:c r="I2" s="173" t="str">
        <x:v>统一按税别净服务收入规划；先填创始人小时成本，再核算订单经济贡献。每个服务分别获得真实付费证据前，不写成官网正式价格。</x:v>
      </x:c>
      <x:c r="J2" s="173" t="str">
        <x:v>统一按税别净服务收入规划；先填创始人小时成本，再核算订单经济贡献。每个服务分别获得真实付费证据前，不写成官网正式价格。</x:v>
      </x:c>
      <x:c r="K2" s="173" t="str">
        <x:v>统一按税别净服务收入规划；先填创始人小时成本，再核算订单经济贡献。每个服务分别获得真实付费证据前，不写成官网正式价格。</x:v>
      </x:c>
      <x:c r="L2" s="173" t="str">
        <x:v>统一按税别净服务收入规划；先填创始人小时成本，再核算订单经济贡献。每个服务分别获得真实付费证据前，不写成官网正式价格。</x:v>
      </x:c>
      <x:c r="M2" s="173" t="str">
        <x:v>统一按税别净服务收入规划；先填创始人小时成本，再核算订单经济贡献。每个服务分别获得真实付费证据前，不写成官网正式价格。</x:v>
      </x:c>
      <x:c r="N2" s="173" t="str">
        <x:v>统一按税别净服务收入规划；先填创始人小时成本，再核算订单经济贡献。每个服务分别获得真实付费证据前，不写成官网正式价格。</x:v>
      </x:c>
      <x:c r="O2" s="173" t="str">
        <x:v>统一按税别净服务收入规划；先填创始人小时成本，再核算订单经济贡献。每个服务分别获得真实付费证据前，不写成官网正式价格。</x:v>
      </x:c>
      <x:c r="P2" s="173" t="str">
        <x:v>统一按税别净服务收入规划；先填创始人小时成本，再核算订单经济贡献。每个服务分别获得真实付费证据前，不写成官网正式价格。</x:v>
      </x:c>
      <x:c r="Q2" s="173" t="str">
        <x:v>统一按税别净服务收入规划；先填创始人小时成本，再核算订单经济贡献。每个服务分别获得真实付费证据前，不写成官网正式价格。</x:v>
      </x:c>
      <x:c r="R2" s="173" t="str">
        <x:v>统一按税别净服务收入规划；先填创始人小时成本，再核算订单经济贡献。每个服务分别获得真实付费证据前，不写成官网正式价格。</x:v>
      </x:c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  <x:c r="M3" s="174"/>
      <x:c r="N3" s="174"/>
      <x:c r="O3" s="174"/>
      <x:c r="P3" s="174"/>
      <x:c r="Q3" s="174"/>
      <x:c r="R3" s="174"/>
    </x:row>
    <x:row r="4" ht="30" customHeight="1">
      <x:c r="A4" s="77" t="str">
        <x:v>编号</x:v>
      </x:c>
      <x:c r="B4" s="78" t="str">
        <x:v>服务候选</x:v>
      </x:c>
      <x:c r="C4" s="78" t="str">
        <x:v>档位</x:v>
      </x:c>
      <x:c r="D4" s="78" t="str">
        <x:v>验证状态</x:v>
      </x:c>
      <x:c r="E4" s="78" t="str">
        <x:v>计价单位</x:v>
      </x:c>
      <x:c r="F4" s="78" t="str">
        <x:v>净服务价JPY</x:v>
      </x:c>
      <x:c r="G4" s="78" t="str">
        <x:v>折算CNY</x:v>
      </x:c>
      <x:c r="H4" s="78" t="str">
        <x:v>工时上限</x:v>
      </x:c>
      <x:c r="I4" s="78" t="str">
        <x:v>外部/获客/支付费CNY</x:v>
      </x:c>
      <x:c r="J4" s="78" t="str">
        <x:v>目标现金贡献率</x:v>
      </x:c>
      <x:c r="K4" s="78" t="str">
        <x:v>订单现金贡献</x:v>
      </x:c>
      <x:c r="L4" s="78" t="str">
        <x:v>现金贡献率</x:v>
      </x:c>
      <x:c r="M4" s="78" t="str">
        <x:v>订单经济贡献</x:v>
      </x:c>
      <x:c r="N4" s="78" t="str">
        <x:v>经济贡献率</x:v>
      </x:c>
      <x:c r="O4" s="78" t="str">
        <x:v>证据级别</x:v>
      </x:c>
      <x:c r="P4" s="78" t="str">
        <x:v>首先验证什么</x:v>
      </x:c>
      <x:c r="Q4" s="78" t="str">
        <x:v>边界/备注</x:v>
      </x:c>
      <x:c r="R4" s="79" t="str">
        <x:v>压力结论</x:v>
      </x:c>
      <x:c r="S4" s="254" t="str">
        <x:v>硬门批准</x:v>
      </x:c>
      <x:c r="T4" s="254" t="str">
        <x:v>证据记录/批准人</x:v>
      </x:c>
      <x:c r="U4" s="254" t="str">
        <x:v>成本状态</x:v>
      </x:c>
    </x:row>
    <x:row r="5" ht="36" customHeight="1">
      <x:c r="A5" s="174" t="str">
        <x:v>O-01A</x:v>
      </x:c>
      <x:c r="B5" s="174" t="str">
        <x:v>付费诊断/准备包</x:v>
      </x:c>
      <x:c r="C5" s="174" t="str">
        <x:v>窄范围</x:v>
      </x:c>
      <x:c r="D5" s="249" t="str">
        <x:v>暂停</x:v>
      </x:c>
      <x:c r="E5" s="203" t="str">
        <x:v>一次</x:v>
      </x:c>
      <x:c r="F5" s="204" t="n">
        <x:v>50000</x:v>
      </x:c>
      <x:c r="G5" s="199" t="n">
        <x:f>F5*'说明与目标'!$B$10</x:f>
        <x:v>2500</x:v>
      </x:c>
      <x:c r="H5" s="205" t="n">
        <x:v>5</x:v>
      </x:c>
      <x:c r="I5" s="206" t="n">
        <x:v>0</x:v>
      </x:c>
      <x:c r="J5" s="207" t="n">
        <x:v>0.65</x:v>
      </x:c>
      <x:c r="K5" s="208" t="n">
        <x:f>G5-I5</x:f>
        <x:v>2500</x:v>
      </x:c>
      <x:c r="L5" s="209" t="n">
        <x:f>IFERROR(K5/G5,"")</x:f>
        <x:v>1</x:v>
      </x:c>
      <x:c r="M5" s="208" t="n">
        <x:f>K5-H5*'说明与目标'!$B$16</x:f>
        <x:v>2500</x:v>
      </x:c>
      <x:c r="N5" s="209" t="n">
        <x:f>IFERROR(M5/G5,"")</x:f>
        <x:v>1</x:v>
      </x:c>
      <x:c r="O5" s="201" t="str">
        <x:v>成本/价值假设</x:v>
      </x:c>
      <x:c r="P5" s="201" t="str">
        <x:v>同一ICP是否为问题定义与优先级付费</x:v>
      </x:c>
      <x:c r="Q5" s="201" t="str">
        <x:v>内部AI演练不等于人工交付通过；未补手工冷启动计时、真实现金费用与价值证据</x:v>
      </x:c>
      <x:c r="R5" s="210" t="str">
        <x:f>IF(D5="暂停","暂停：见边界/备注",IF(D5="待验证","待验证：不得报价",IF(OR(S5&lt;&gt;"已批准",T5=""),"阻断：缺硬门批准或证据记录",IF(U5="未知","阻断：成本仍未知",IF('说明与目标'!$B$16&lt;=0,"先填小时成本",IF(L5&lt;J5,"现金贡献率不足",IF(M5&lt;0,"订单经济亏损",IF(N5&lt;0.5,"经济贡献率不足","双贡献压力线通过；仍须逐单报价门"))))))))</x:f>
        <x:v>暂停：见边界/备注</x:v>
      </x:c>
      <x:c r="S5" s="257" t="str">
        <x:v>未批准</x:v>
      </x:c>
      <x:c r="T5" s="257"/>
      <x:c r="U5" s="257" t="str">
        <x:v>未知</x:v>
      </x:c>
    </x:row>
    <x:row r="6" ht="36" customHeight="1">
      <x:c r="A6" s="174" t="str">
        <x:v>O-01B</x:v>
      </x:c>
      <x:c r="B6" s="174" t="str">
        <x:v>付费诊断/准备包</x:v>
      </x:c>
      <x:c r="C6" s="174" t="str">
        <x:v>扩展</x:v>
      </x:c>
      <x:c r="D6" s="250" t="str">
        <x:v>暂停</x:v>
      </x:c>
      <x:c r="E6" s="212" t="str">
        <x:v>一次</x:v>
      </x:c>
      <x:c r="F6" s="213" t="n">
        <x:v>60000</x:v>
      </x:c>
      <x:c r="G6" s="199" t="n">
        <x:f>F6*'说明与目标'!$B$10</x:f>
        <x:v>3000</x:v>
      </x:c>
      <x:c r="H6" s="214" t="n">
        <x:v>7</x:v>
      </x:c>
      <x:c r="I6" s="215" t="n">
        <x:v>0</x:v>
      </x:c>
      <x:c r="J6" s="216" t="n">
        <x:v>0.65</x:v>
      </x:c>
      <x:c r="K6" s="208" t="n">
        <x:f>G6-I6</x:f>
        <x:v>3000</x:v>
      </x:c>
      <x:c r="L6" s="209" t="n">
        <x:f>IFERROR(K6/G6,"")</x:f>
        <x:v>1</x:v>
      </x:c>
      <x:c r="M6" s="208" t="n">
        <x:f>K6-H6*'说明与目标'!$B$16</x:f>
        <x:v>3000</x:v>
      </x:c>
      <x:c r="N6" s="209" t="n">
        <x:f>IFERROR(M6/G6,"")</x:f>
        <x:v>1</x:v>
      </x:c>
      <x:c r="O6" s="201" t="str">
        <x:v>成本/价值假设</x:v>
      </x:c>
      <x:c r="P6" s="201" t="str">
        <x:v>扩展材料是否仍能按时验收</x:v>
      </x:c>
      <x:c r="Q6" s="201" t="str">
        <x:v>扩展档暂停出售；不得进入年末预测</x:v>
      </x:c>
      <x:c r="R6" s="210" t="str">
        <x:f>IF(D6="暂停","暂停：见边界/备注",IF(D6="待验证","待验证：不得报价",IF(OR(S6&lt;&gt;"已批准",T6=""),"阻断：缺硬门批准或证据记录",IF(U6="未知","阻断：成本仍未知",IF('说明与目标'!$B$16&lt;=0,"先填小时成本",IF(L6&lt;J6,"现金贡献率不足",IF(M6&lt;0,"订单经济亏损",IF(N6&lt;0.5,"经济贡献率不足","双贡献压力线通过；仍须逐单报价门"))))))))</x:f>
        <x:v>暂停：见边界/备注</x:v>
      </x:c>
      <x:c r="S6" s="257" t="str">
        <x:v>未批准</x:v>
      </x:c>
      <x:c r="T6" s="257"/>
      <x:c r="U6" s="257" t="str">
        <x:v>未知</x:v>
      </x:c>
    </x:row>
    <x:row r="7" ht="36" customHeight="1">
      <x:c r="A7" s="174" t="str">
        <x:v>O-02A</x:v>
      </x:c>
      <x:c r="B7" s="174" t="str">
        <x:v>本地化与到店信息包</x:v>
      </x:c>
      <x:c r="C7" s="174" t="str">
        <x:v>窄范围</x:v>
      </x:c>
      <x:c r="D7" s="250" t="str">
        <x:v>暂停</x:v>
      </x:c>
      <x:c r="E7" s="212" t="str">
        <x:v>一次</x:v>
      </x:c>
      <x:c r="F7" s="213" t="n">
        <x:v>120000</x:v>
      </x:c>
      <x:c r="G7" s="199" t="n">
        <x:f>F7*'说明与目标'!$B$10</x:f>
        <x:v>6000</x:v>
      </x:c>
      <x:c r="H7" s="214" t="n">
        <x:v>12</x:v>
      </x:c>
      <x:c r="I7" s="215" t="n">
        <x:v>0</x:v>
      </x:c>
      <x:c r="J7" s="216" t="n">
        <x:v>0.65</x:v>
      </x:c>
      <x:c r="K7" s="208" t="n">
        <x:f>G7-I7</x:f>
        <x:v>6000</x:v>
      </x:c>
      <x:c r="L7" s="209" t="n">
        <x:f>IFERROR(K7/G7,"")</x:f>
        <x:v>1</x:v>
      </x:c>
      <x:c r="M7" s="208" t="n">
        <x:f>K7-H7*'说明与目标'!$B$16</x:f>
        <x:v>6000</x:v>
      </x:c>
      <x:c r="N7" s="209" t="n">
        <x:f>IFERROR(M7/G7,"")</x:f>
        <x:v>1</x:v>
      </x:c>
      <x:c r="O7" s="201" t="str">
        <x:v>成本/价值假设</x:v>
      </x:c>
      <x:c r="P7" s="201" t="str">
        <x:v>明确来店流程是否值得付费</x:v>
      </x:c>
      <x:c r="Q7" s="201" t="str">
        <x:v>缺合格外部简中复核、两份同范围书面报价、完整人工计时和真实需求证据</x:v>
      </x:c>
      <x:c r="R7" s="210" t="str">
        <x:f>IF(D7="暂停","暂停：见边界/备注",IF(D7="待验证","待验证：不得报价",IF(OR(S7&lt;&gt;"已批准",T7=""),"阻断：缺硬门批准或证据记录",IF(U7="未知","阻断：成本仍未知",IF('说明与目标'!$B$16&lt;=0,"先填小时成本",IF(L7&lt;J7,"现金贡献率不足",IF(M7&lt;0,"订单经济亏损",IF(N7&lt;0.5,"经济贡献率不足","双贡献压力线通过；仍须逐单报价门"))))))))</x:f>
        <x:v>暂停：见边界/备注</x:v>
      </x:c>
      <x:c r="S7" s="257" t="str">
        <x:v>未批准</x:v>
      </x:c>
      <x:c r="T7" s="257"/>
      <x:c r="U7" s="257" t="str">
        <x:v>未知</x:v>
      </x:c>
    </x:row>
    <x:row r="8" ht="36" customHeight="1">
      <x:c r="A8" s="174" t="str">
        <x:v>O-02B</x:v>
      </x:c>
      <x:c r="B8" s="174" t="str">
        <x:v>本地化与到店信息包</x:v>
      </x:c>
      <x:c r="C8" s="174" t="str">
        <x:v>扩展</x:v>
      </x:c>
      <x:c r="D8" s="250" t="str">
        <x:v>暂停</x:v>
      </x:c>
      <x:c r="E8" s="212" t="str">
        <x:v>一次</x:v>
      </x:c>
      <x:c r="F8" s="213" t="n">
        <x:v>200000</x:v>
      </x:c>
      <x:c r="G8" s="199" t="n">
        <x:f>F8*'说明与目标'!$B$10</x:f>
        <x:v>10000</x:v>
      </x:c>
      <x:c r="H8" s="214" t="n">
        <x:v>24</x:v>
      </x:c>
      <x:c r="I8" s="215" t="n">
        <x:v>0</x:v>
      </x:c>
      <x:c r="J8" s="216" t="n">
        <x:v>0.65</x:v>
      </x:c>
      <x:c r="K8" s="208" t="n">
        <x:f>G8-I8</x:f>
        <x:v>10000</x:v>
      </x:c>
      <x:c r="L8" s="209" t="n">
        <x:f>IFERROR(K8/G8,"")</x:f>
        <x:v>1</x:v>
      </x:c>
      <x:c r="M8" s="208" t="n">
        <x:f>K8-H8*'说明与目标'!$B$16</x:f>
        <x:v>10000</x:v>
      </x:c>
      <x:c r="N8" s="209" t="n">
        <x:f>IFERROR(M8/G8,"")</x:f>
        <x:v>1</x:v>
      </x:c>
      <x:c r="O8" s="201" t="str">
        <x:v>成本/价值假设</x:v>
      </x:c>
      <x:c r="P8" s="201" t="str">
        <x:v>扩展材料与复核工时是否可控</x:v>
      </x:c>
      <x:c r="Q8" s="201" t="str">
        <x:v>扩展档暂停出售；不得进入年末预测</x:v>
      </x:c>
      <x:c r="R8" s="210" t="str">
        <x:f>IF(D8="暂停","暂停：见边界/备注",IF(D8="待验证","待验证：不得报价",IF(OR(S8&lt;&gt;"已批准",T8=""),"阻断：缺硬门批准或证据记录",IF(U8="未知","阻断：成本仍未知",IF('说明与目标'!$B$16&lt;=0,"先填小时成本",IF(L8&lt;J8,"现金贡献率不足",IF(M8&lt;0,"订单经济亏损",IF(N8&lt;0.5,"经济贡献率不足","双贡献压力线通过；仍须逐单报价门"))))))))</x:f>
        <x:v>暂停：见边界/备注</x:v>
      </x:c>
      <x:c r="S8" s="257" t="str">
        <x:v>未批准</x:v>
      </x:c>
      <x:c r="T8" s="257"/>
      <x:c r="U8" s="257" t="str">
        <x:v>未知</x:v>
      </x:c>
    </x:row>
    <x:row r="9" ht="36" customHeight="1">
      <x:c r="A9" s="174" t="str">
        <x:v>O-03A</x:v>
      </x:c>
      <x:c r="B9" s="174" t="str">
        <x:v>平台启动包</x:v>
      </x:c>
      <x:c r="C9" s="174" t="str">
        <x:v>基础</x:v>
      </x:c>
      <x:c r="D9" s="250" t="str">
        <x:v>待验证</x:v>
      </x:c>
      <x:c r="E9" s="212" t="str">
        <x:v>一次</x:v>
      </x:c>
      <x:c r="F9" s="213" t="n">
        <x:v>250000</x:v>
      </x:c>
      <x:c r="G9" s="199" t="n">
        <x:f>F9*'说明与目标'!$B$10</x:f>
        <x:v>12500</x:v>
      </x:c>
      <x:c r="H9" s="214" t="n">
        <x:v>30</x:v>
      </x:c>
      <x:c r="I9" s="215" t="n">
        <x:v>0</x:v>
      </x:c>
      <x:c r="J9" s="216" t="n">
        <x:v>0.65</x:v>
      </x:c>
      <x:c r="K9" s="208" t="n">
        <x:f>G9-I9</x:f>
        <x:v>12500</x:v>
      </x:c>
      <x:c r="L9" s="209" t="n">
        <x:f>IFERROR(K9/G9,"")</x:f>
        <x:v>1</x:v>
      </x:c>
      <x:c r="M9" s="208" t="n">
        <x:f>K9-H9*'说明与目标'!$B$16</x:f>
        <x:v>12500</x:v>
      </x:c>
      <x:c r="N9" s="209" t="n">
        <x:f>IFERROR(M9/G9,"")</x:f>
        <x:v>1</x:v>
      </x:c>
      <x:c r="O9" s="201" t="str">
        <x:v>公开结构参考+成本假设</x:v>
      </x:c>
      <x:c r="P9" s="201" t="str">
        <x:v>客户是否为可交接的账号与首批内容付费</x:v>
      </x:c>
      <x:c r="Q9" s="201" t="str">
        <x:v>先过账号可行性、真实客户、工时和现金成本门；不保证审核或平台结果</x:v>
      </x:c>
      <x:c r="R9" s="210" t="str">
        <x:f>IF(D9="暂停","暂停：见边界/备注",IF(D9="待验证","待验证：不得报价",IF(OR(S9&lt;&gt;"已批准",T9=""),"阻断：缺硬门批准或证据记录",IF(U9="未知","阻断：成本仍未知",IF('说明与目标'!$B$16&lt;=0,"先填小时成本",IF(L9&lt;J9,"现金贡献率不足",IF(M9&lt;0,"订单经济亏损",IF(N9&lt;0.5,"经济贡献率不足","双贡献压力线通过；仍须逐单报价门"))))))))</x:f>
        <x:v>待验证：不得报价</x:v>
      </x:c>
      <x:c r="S9" s="257" t="str">
        <x:v>未批准</x:v>
      </x:c>
      <x:c r="T9" s="257"/>
      <x:c r="U9" s="257" t="str">
        <x:v>未知</x:v>
      </x:c>
    </x:row>
    <x:row r="10" ht="36" customHeight="1">
      <x:c r="A10" s="174" t="str">
        <x:v>O-03B</x:v>
      </x:c>
      <x:c r="B10" s="174" t="str">
        <x:v>平台启动包</x:v>
      </x:c>
      <x:c r="C10" s="174" t="str">
        <x:v>扩展</x:v>
      </x:c>
      <x:c r="D10" s="250" t="str">
        <x:v>暂停</x:v>
      </x:c>
      <x:c r="E10" s="212" t="str">
        <x:v>一次</x:v>
      </x:c>
      <x:c r="F10" s="213" t="n">
        <x:v>350000</x:v>
      </x:c>
      <x:c r="G10" s="199" t="n">
        <x:f>F10*'说明与目标'!$B$10</x:f>
        <x:v>17500</x:v>
      </x:c>
      <x:c r="H10" s="214" t="n">
        <x:v>40</x:v>
      </x:c>
      <x:c r="I10" s="215" t="n">
        <x:v>0</x:v>
      </x:c>
      <x:c r="J10" s="216" t="n">
        <x:v>0.65</x:v>
      </x:c>
      <x:c r="K10" s="208" t="n">
        <x:f>G10-I10</x:f>
        <x:v>17500</x:v>
      </x:c>
      <x:c r="L10" s="209" t="n">
        <x:f>IFERROR(K10/G10,"")</x:f>
        <x:v>1</x:v>
      </x:c>
      <x:c r="M10" s="208" t="n">
        <x:f>K10-H10*'说明与目标'!$B$16</x:f>
        <x:v>17500</x:v>
      </x:c>
      <x:c r="N10" s="209" t="n">
        <x:f>IFERROR(M10/G10,"")</x:f>
        <x:v>1</x:v>
      </x:c>
      <x:c r="O10" s="201" t="str">
        <x:v>公开结构参考+成本假设</x:v>
      </x:c>
      <x:c r="P10" s="201" t="str">
        <x:v>认证协作与内容工时是否可控</x:v>
      </x:c>
      <x:c r="Q10" s="201" t="str">
        <x:v>扩展档暂停；先完成基础档真实付费、工时和账号可行性验证</x:v>
      </x:c>
      <x:c r="R10" s="210" t="str">
        <x:f>IF(D10="暂停","暂停：见边界/备注",IF(D10="待验证","待验证：不得报价",IF(OR(S10&lt;&gt;"已批准",T10=""),"阻断：缺硬门批准或证据记录",IF(U10="未知","阻断：成本仍未知",IF('说明与目标'!$B$16&lt;=0,"先填小时成本",IF(L10&lt;J10,"现金贡献率不足",IF(M10&lt;0,"订单经济亏损",IF(N10&lt;0.5,"经济贡献率不足","双贡献压力线通过；仍须逐单报价门"))))))))</x:f>
        <x:v>暂停：见边界/备注</x:v>
      </x:c>
      <x:c r="S10" s="257" t="str">
        <x:v>未批准</x:v>
      </x:c>
      <x:c r="T10" s="257"/>
      <x:c r="U10" s="257" t="str">
        <x:v>未知</x:v>
      </x:c>
    </x:row>
    <x:row r="11" ht="36" customHeight="1">
      <x:c r="A11" s="174" t="str">
        <x:v>O-04A</x:v>
      </x:c>
      <x:c r="B11" s="174" t="str">
        <x:v>单平台持续运营</x:v>
      </x:c>
      <x:c r="C11" s="174" t="str">
        <x:v>客户供素材</x:v>
      </x:c>
      <x:c r="D11" s="250" t="str">
        <x:v>暂停</x:v>
      </x:c>
      <x:c r="E11" s="212" t="str">
        <x:v>月</x:v>
      </x:c>
      <x:c r="F11" s="213" t="n">
        <x:v>120000</x:v>
      </x:c>
      <x:c r="G11" s="199" t="n">
        <x:f>F11*'说明与目标'!$B$10</x:f>
        <x:v>6000</x:v>
      </x:c>
      <x:c r="H11" s="214" t="n">
        <x:v>15</x:v>
      </x:c>
      <x:c r="I11" s="215" t="n">
        <x:v>0</x:v>
      </x:c>
      <x:c r="J11" s="216" t="n">
        <x:v>0.65</x:v>
      </x:c>
      <x:c r="K11" s="208" t="n">
        <x:f>G11-I11</x:f>
        <x:v>6000</x:v>
      </x:c>
      <x:c r="L11" s="209" t="n">
        <x:f>IFERROR(K11/G11,"")</x:f>
        <x:v>1</x:v>
      </x:c>
      <x:c r="M11" s="208" t="n">
        <x:f>K11-H11*'说明与目标'!$B$16</x:f>
        <x:v>6000</x:v>
      </x:c>
      <x:c r="N11" s="209" t="n">
        <x:f>IFERROR(M11/G11,"")</x:f>
        <x:v>1</x:v>
      </x:c>
      <x:c r="O11" s="201" t="str">
        <x:v>公开标价参考+成本假设</x:v>
      </x:c>
      <x:c r="P11" s="201" t="str">
        <x:v>素材纪律、真实工时与续费</x:v>
      </x:c>
      <x:c r="Q11" s="201" t="str">
        <x:v>不得作为第一项主推；先完成2个相关付费交付和1个按月试运行</x:v>
      </x:c>
      <x:c r="R11" s="210" t="str">
        <x:f>IF(D11="暂停","暂停：见边界/备注",IF(D11="待验证","待验证：不得报价",IF(OR(S11&lt;&gt;"已批准",T11=""),"阻断：缺硬门批准或证据记录",IF(U11="未知","阻断：成本仍未知",IF('说明与目标'!$B$16&lt;=0,"先填小时成本",IF(L11&lt;J11,"现金贡献率不足",IF(M11&lt;0,"订单经济亏损",IF(N11&lt;0.5,"经济贡献率不足","双贡献压力线通过；仍须逐单报价门"))))))))</x:f>
        <x:v>暂停：见边界/备注</x:v>
      </x:c>
      <x:c r="S11" s="257" t="str">
        <x:v>未批准</x:v>
      </x:c>
      <x:c r="T11" s="257"/>
      <x:c r="U11" s="257" t="str">
        <x:v>未知</x:v>
      </x:c>
    </x:row>
    <x:row r="12" ht="36" customHeight="1">
      <x:c r="A12" s="174" t="str">
        <x:v>O-04B</x:v>
      </x:c>
      <x:c r="B12" s="174" t="str">
        <x:v>单平台持续运营</x:v>
      </x:c>
      <x:c r="C12" s="174" t="str">
        <x:v>轻制作</x:v>
      </x:c>
      <x:c r="D12" s="250" t="str">
        <x:v>暂停</x:v>
      </x:c>
      <x:c r="E12" s="212" t="str">
        <x:v>月</x:v>
      </x:c>
      <x:c r="F12" s="213" t="n">
        <x:v>160000</x:v>
      </x:c>
      <x:c r="G12" s="199" t="n">
        <x:f>F12*'说明与目标'!$B$10</x:f>
        <x:v>8000</x:v>
      </x:c>
      <x:c r="H12" s="214" t="n">
        <x:v>20</x:v>
      </x:c>
      <x:c r="I12" s="215" t="n">
        <x:v>0</x:v>
      </x:c>
      <x:c r="J12" s="216" t="n">
        <x:v>0.65</x:v>
      </x:c>
      <x:c r="K12" s="208" t="n">
        <x:f>G12-I12</x:f>
        <x:v>8000</x:v>
      </x:c>
      <x:c r="L12" s="209" t="n">
        <x:f>IFERROR(K12/G12,"")</x:f>
        <x:v>1</x:v>
      </x:c>
      <x:c r="M12" s="208" t="n">
        <x:f>K12-H12*'说明与目标'!$B$16</x:f>
        <x:v>8000</x:v>
      </x:c>
      <x:c r="N12" s="209" t="n">
        <x:f>IFERROR(M12/G12,"")</x:f>
        <x:v>1</x:v>
      </x:c>
      <x:c r="O12" s="201" t="str">
        <x:v>公开标价参考+成本假设</x:v>
      </x:c>
      <x:c r="P12" s="201" t="str">
        <x:v>轻制作范围与确认等待是否可控</x:v>
      </x:c>
      <x:c r="Q12" s="201" t="str">
        <x:v>不得作为第一项主推；先验证轻制作范围、等待与续费</x:v>
      </x:c>
      <x:c r="R12" s="210" t="str">
        <x:f>IF(D12="暂停","暂停：见边界/备注",IF(D12="待验证","待验证：不得报价",IF(OR(S12&lt;&gt;"已批准",T12=""),"阻断：缺硬门批准或证据记录",IF(U12="未知","阻断：成本仍未知",IF('说明与目标'!$B$16&lt;=0,"先填小时成本",IF(L12&lt;J12,"现金贡献率不足",IF(M12&lt;0,"订单经济亏损",IF(N12&lt;0.5,"经济贡献率不足","双贡献压力线通过；仍须逐单报价门"))))))))</x:f>
        <x:v>暂停：见边界/备注</x:v>
      </x:c>
      <x:c r="S12" s="257" t="str">
        <x:v>未批准</x:v>
      </x:c>
      <x:c r="T12" s="257"/>
      <x:c r="U12" s="257" t="str">
        <x:v>未知</x:v>
      </x:c>
    </x:row>
    <x:row r="13" ht="36" customHeight="1">
      <x:c r="A13" s="174" t="str">
        <x:v>O-04C</x:v>
      </x:c>
      <x:c r="B13" s="174" t="str">
        <x:v>单平台持续运营</x:v>
      </x:c>
      <x:c r="C13" s="174" t="str">
        <x:v>较多制作</x:v>
      </x:c>
      <x:c r="D13" s="251" t="str">
        <x:v>暂停</x:v>
      </x:c>
      <x:c r="E13" s="218" t="str">
        <x:v>月</x:v>
      </x:c>
      <x:c r="F13" s="219" t="n">
        <x:v>230000</x:v>
      </x:c>
      <x:c r="G13" s="199" t="n">
        <x:f>F13*'说明与目标'!$B$10</x:f>
        <x:v>11500</x:v>
      </x:c>
      <x:c r="H13" s="220" t="n">
        <x:v>28</x:v>
      </x:c>
      <x:c r="I13" s="221" t="n">
        <x:v>0</x:v>
      </x:c>
      <x:c r="J13" s="222" t="n">
        <x:v>0.65</x:v>
      </x:c>
      <x:c r="K13" s="208" t="n">
        <x:f>G13-I13</x:f>
        <x:v>11500</x:v>
      </x:c>
      <x:c r="L13" s="209" t="n">
        <x:f>IFERROR(K13/G13,"")</x:f>
        <x:v>1</x:v>
      </x:c>
      <x:c r="M13" s="208" t="n">
        <x:f>K13-H13*'说明与目标'!$B$16</x:f>
        <x:v>11500</x:v>
      </x:c>
      <x:c r="N13" s="209" t="n">
        <x:f>IFERROR(M13/G13,"")</x:f>
        <x:v>1</x:v>
      </x:c>
      <x:c r="O13" s="201" t="str">
        <x:v>公开标价参考+成本假设</x:v>
      </x:c>
      <x:c r="P13" s="201" t="str">
        <x:v>较多制作的工时与续费</x:v>
      </x:c>
      <x:c r="Q13" s="201" t="str">
        <x:v>不得作为第一项主推；拍摄、达人、广告、DM/评论和危机处理另计</x:v>
      </x:c>
      <x:c r="R13" s="210" t="str">
        <x:f>IF(D13="暂停","暂停：见边界/备注",IF(D13="待验证","待验证：不得报价",IF(OR(S13&lt;&gt;"已批准",T13=""),"阻断：缺硬门批准或证据记录",IF(U13="未知","阻断：成本仍未知",IF('说明与目标'!$B$16&lt;=0,"先填小时成本",IF(L13&lt;J13,"现金贡献率不足",IF(M13&lt;0,"订单经济亏损",IF(N13&lt;0.5,"经济贡献率不足","双贡献压力线通过；仍须逐单报价门"))))))))</x:f>
        <x:v>暂停：见边界/备注</x:v>
      </x:c>
      <x:c r="S13" s="257" t="str">
        <x:v>未批准</x:v>
      </x:c>
      <x:c r="T13" s="257"/>
      <x:c r="U13" s="257" t="str">
        <x:v>未知</x:v>
      </x:c>
    </x:row>
  </x:sheetData>
  <x:mergeCells>
    <x:mergeCell ref="A1:U1"/>
    <x:mergeCell ref="A2:U2"/>
  </x:mergeCells>
  <x:conditionalFormatting sqref="M5:M13">
    <x:cfRule type="cellIs" dxfId="0" priority="1" operator="lessThan">
      <x:formula>0</x:formula>
    </x:cfRule>
  </x:conditionalFormatting>
  <x:conditionalFormatting sqref="N5:N13">
    <x:cfRule type="cellIs" dxfId="1" priority="2" operator="lessThan">
      <x:formula>0.5</x:formula>
    </x:cfRule>
  </x:conditionalFormatting>
  <x:conditionalFormatting sqref="R5:R13">
    <x:cfRule type="containsText" dxfId="2" priority="3" operator="containsText" text="亏损"/>
    <x:cfRule type="containsText" dxfId="3" priority="4" operator="containsText" text="缓冲不足"/>
    <x:cfRule type="containsText" dxfId="4" priority="5" operator="containsText" text="可进入"/>
  </x:conditionalFormatting>
  <x:dataValidations count="3">
    <x:dataValidation type="list" sqref="D5:D13">
      <x:formula1>"暂停,待验证,付费测试已批准,已验证"</x:formula1>
    </x:dataValidation>
    <x:dataValidation type="list" sqref="S5:S13">
      <x:formula1>"未批准,已批准"</x:formula1>
    </x:dataValidation>
    <x:dataValidation type="list" sqref="U5:U13">
      <x:formula1>"未知,有书面依据为0,已填真实估算"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42545d3a3240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14" hidden="0" customWidth="1"/>
    <x:col min="5" max="5" width="15" hidden="0" customWidth="1"/>
    <x:col min="6" max="6" width="18" hidden="0" customWidth="1"/>
    <x:col min="7" max="7" width="22" hidden="0" customWidth="1"/>
    <x:col min="8" max="8" width="16" hidden="0" customWidth="1"/>
    <x:col min="9" max="9" width="34" hidden="0" customWidth="1"/>
    <x:col min="10" max="10" width="14" hidden="0" customWidth="1"/>
    <x:col min="11" max="11" width="14" hidden="0" customWidth="1"/>
    <x:col min="12" max="12" width="14" hidden="0" customWidth="1"/>
    <x:col min="13" max="13" width="30" hidden="0" customWidth="1"/>
    <x:col min="14" max="14" width="16" hidden="0" customWidth="1"/>
    <x:col min="15" max="15" width="14" hidden="0" customWidth="1"/>
    <x:col min="16" max="16" width="14" hidden="0" customWidth="1"/>
    <x:col min="17" max="17" width="36" hidden="0" customWidth="1"/>
  </x:cols>
  <x:sheetData>
    <x:row r="1" ht="34" customHeight="1">
      <x:c r="A1" s="4" t="str">
        <x:v>线索｜只记录真实接触，不把名单当商机</x:v>
      </x:c>
      <x:c r="B1" s="4" t="str">
        <x:v>线索｜只记录真实接触，不把名单当商机</x:v>
      </x:c>
      <x:c r="C1" s="4" t="str">
        <x:v>线索｜只记录真实接触，不把名单当商机</x:v>
      </x:c>
      <x:c r="D1" s="4" t="str">
        <x:v>线索｜只记录真实接触，不把名单当商机</x:v>
      </x:c>
      <x:c r="E1" s="4" t="str">
        <x:v>线索｜只记录真实接触，不把名单当商机</x:v>
      </x:c>
      <x:c r="F1" s="4" t="str">
        <x:v>线索｜只记录真实接触，不把名单当商机</x:v>
      </x:c>
      <x:c r="G1" s="4" t="str">
        <x:v>线索｜只记录真实接触，不把名单当商机</x:v>
      </x:c>
      <x:c r="H1" s="4" t="str">
        <x:v>线索｜只记录真实接触，不把名单当商机</x:v>
      </x:c>
      <x:c r="I1" s="4" t="str">
        <x:v>线索｜只记录真实接触，不把名单当商机</x:v>
      </x:c>
      <x:c r="J1" s="4" t="str">
        <x:v>线索｜只记录真实接触，不把名单当商机</x:v>
      </x:c>
      <x:c r="K1" s="4" t="str">
        <x:v>线索｜只记录真实接触，不把名单当商机</x:v>
      </x:c>
      <x:c r="L1" s="4" t="str">
        <x:v>线索｜只记录真实接触，不把名单当商机</x:v>
      </x:c>
      <x:c r="M1" s="4" t="str">
        <x:v>线索｜只记录真实接触，不把名单当商机</x:v>
      </x:c>
      <x:c r="N1" s="4" t="str">
        <x:v>线索｜只记录真实接触，不把名单当商机</x:v>
      </x:c>
      <x:c r="O1" s="4" t="str">
        <x:v>线索｜只记录真实接触，不把名单当商机</x:v>
      </x:c>
      <x:c r="P1" s="4" t="str">
        <x:v>线索｜只记录真实接触，不把名单当商机</x:v>
      </x:c>
      <x:c r="Q1" s="4" t="str">
        <x:v>线索｜只记录真实接触，不把名单当商机</x:v>
      </x:c>
    </x:row>
    <x:row r="2">
      <x:c r="A2" s="223" t="str">
        <x:v>合格商机至少应具备：具体问题与时间、可接触决策人、愿意讨论预算、能提供资料、接受服务边界。</x:v>
      </x:c>
      <x:c r="B2" s="223" t="str">
        <x:v>合格商机至少应具备：具体问题与时间、可接触决策人、愿意讨论预算、能提供资料、接受服务边界。</x:v>
      </x:c>
      <x:c r="C2" s="223" t="str">
        <x:v>合格商机至少应具备：具体问题与时间、可接触决策人、愿意讨论预算、能提供资料、接受服务边界。</x:v>
      </x:c>
      <x:c r="D2" s="223" t="str">
        <x:v>合格商机至少应具备：具体问题与时间、可接触决策人、愿意讨论预算、能提供资料、接受服务边界。</x:v>
      </x:c>
      <x:c r="E2" s="223" t="str">
        <x:v>合格商机至少应具备：具体问题与时间、可接触决策人、愿意讨论预算、能提供资料、接受服务边界。</x:v>
      </x:c>
      <x:c r="F2" s="223" t="str">
        <x:v>合格商机至少应具备：具体问题与时间、可接触决策人、愿意讨论预算、能提供资料、接受服务边界。</x:v>
      </x:c>
      <x:c r="G2" s="223" t="str">
        <x:v>合格商机至少应具备：具体问题与时间、可接触决策人、愿意讨论预算、能提供资料、接受服务边界。</x:v>
      </x:c>
      <x:c r="H2" s="223" t="str">
        <x:v>合格商机至少应具备：具体问题与时间、可接触决策人、愿意讨论预算、能提供资料、接受服务边界。</x:v>
      </x:c>
      <x:c r="I2" s="223" t="str">
        <x:v>合格商机至少应具备：具体问题与时间、可接触决策人、愿意讨论预算、能提供资料、接受服务边界。</x:v>
      </x:c>
      <x:c r="J2" s="223" t="str">
        <x:v>合格商机至少应具备：具体问题与时间、可接触决策人、愿意讨论预算、能提供资料、接受服务边界。</x:v>
      </x:c>
      <x:c r="K2" s="223" t="str">
        <x:v>合格商机至少应具备：具体问题与时间、可接触决策人、愿意讨论预算、能提供资料、接受服务边界。</x:v>
      </x:c>
      <x:c r="L2" s="223" t="str">
        <x:v>合格商机至少应具备：具体问题与时间、可接触决策人、愿意讨论预算、能提供资料、接受服务边界。</x:v>
      </x:c>
      <x:c r="M2" s="223" t="str">
        <x:v>合格商机至少应具备：具体问题与时间、可接触决策人、愿意讨论预算、能提供资料、接受服务边界。</x:v>
      </x:c>
      <x:c r="N2" s="223" t="str">
        <x:v>合格商机至少应具备：具体问题与时间、可接触决策人、愿意讨论预算、能提供资料、接受服务边界。</x:v>
      </x:c>
      <x:c r="O2" s="223" t="str">
        <x:v>合格商机至少应具备：具体问题与时间、可接触决策人、愿意讨论预算、能提供资料、接受服务边界。</x:v>
      </x:c>
      <x:c r="P2" s="223" t="str">
        <x:v>合格商机至少应具备：具体问题与时间、可接触决策人、愿意讨论预算、能提供资料、接受服务边界。</x:v>
      </x:c>
      <x:c r="Q2" s="223" t="str">
        <x:v>合格商机至少应具备：具体问题与时间、可接触决策人、愿意讨论预算、能提供资料、接受服务边界。</x:v>
      </x:c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  <x:c r="M3" s="174"/>
      <x:c r="N3" s="174"/>
      <x:c r="O3" s="174"/>
      <x:c r="P3" s="174"/>
      <x:c r="Q3" s="174"/>
    </x:row>
    <x:row r="4" ht="30" customHeight="1">
      <x:c r="A4" s="77" t="str">
        <x:v>线索ID</x:v>
      </x:c>
      <x:c r="B4" s="78" t="str">
        <x:v>创建日期</x:v>
      </x:c>
      <x:c r="C4" s="78" t="str">
        <x:v>公司/店铺</x:v>
      </x:c>
      <x:c r="D4" s="78" t="str">
        <x:v>城市</x:v>
      </x:c>
      <x:c r="E4" s="78" t="str">
        <x:v>行业</x:v>
      </x:c>
      <x:c r="F4" s="78" t="str">
        <x:v>来源</x:v>
      </x:c>
      <x:c r="G4" s="78" t="str">
        <x:v>中文需求信号</x:v>
      </x:c>
      <x:c r="H4" s="78" t="str">
        <x:v>决策人</x:v>
      </x:c>
      <x:c r="I4" s="78" t="str">
        <x:v>具体问题</x:v>
      </x:c>
      <x:c r="J4" s="78" t="str">
        <x:v>预算状态</x:v>
      </x:c>
      <x:c r="K4" s="78" t="str">
        <x:v>希望开始</x:v>
      </x:c>
      <x:c r="L4" s="78" t="str">
        <x:v>阶段</x:v>
      </x:c>
      <x:c r="M4" s="78" t="str">
        <x:v>下一动作</x:v>
      </x:c>
      <x:c r="N4" s="78" t="str">
        <x:v>下一动作日期</x:v>
      </x:c>
      <x:c r="O4" s="78" t="str">
        <x:v>跟进状态</x:v>
      </x:c>
      <x:c r="P4" s="78" t="str">
        <x:v>负责人</x:v>
      </x:c>
      <x:c r="Q4" s="79" t="str">
        <x:v>备注</x:v>
      </x:c>
    </x:row>
    <x:row r="5">
      <x:c r="A5" s="224"/>
      <x:c r="B5" s="225"/>
      <x:c r="C5" s="224"/>
      <x:c r="D5" s="224"/>
      <x:c r="E5" s="224"/>
      <x:c r="F5" s="224"/>
      <x:c r="G5" s="224"/>
      <x:c r="H5" s="224"/>
      <x:c r="I5" s="226"/>
      <x:c r="J5" s="224"/>
      <x:c r="K5" s="225"/>
      <x:c r="L5" s="224"/>
      <x:c r="M5" s="224"/>
      <x:c r="N5" s="225"/>
      <x:c r="O5" s="227" t="str">
        <x:f>IF(A5="","",IF(OR(L5="未成交",L5="暂停",N5=""),"",IF(N5&lt;'说明与目标'!$B$6,"逾期","正常")))</x:f>
      </x:c>
      <x:c r="P5" s="174"/>
      <x:c r="Q5" s="201"/>
    </x:row>
    <x:row r="6">
      <x:c r="A6" s="224"/>
      <x:c r="B6" s="225"/>
      <x:c r="C6" s="224"/>
      <x:c r="D6" s="224"/>
      <x:c r="E6" s="224"/>
      <x:c r="F6" s="224"/>
      <x:c r="G6" s="224"/>
      <x:c r="H6" s="224"/>
      <x:c r="I6" s="226"/>
      <x:c r="J6" s="224"/>
      <x:c r="K6" s="225"/>
      <x:c r="L6" s="224"/>
      <x:c r="M6" s="224"/>
      <x:c r="N6" s="225"/>
      <x:c r="O6" s="227" t="str">
        <x:f>IF(A6="","",IF(OR(L6="未成交",L6="暂停",N6=""),"",IF(N6&lt;'说明与目标'!$B$6,"逾期","正常")))</x:f>
      </x:c>
      <x:c r="P6" s="174"/>
      <x:c r="Q6" s="201"/>
    </x:row>
    <x:row r="7">
      <x:c r="A7" s="224"/>
      <x:c r="B7" s="225"/>
      <x:c r="C7" s="224"/>
      <x:c r="D7" s="224"/>
      <x:c r="E7" s="224"/>
      <x:c r="F7" s="224"/>
      <x:c r="G7" s="224"/>
      <x:c r="H7" s="224"/>
      <x:c r="I7" s="226"/>
      <x:c r="J7" s="224"/>
      <x:c r="K7" s="225"/>
      <x:c r="L7" s="224"/>
      <x:c r="M7" s="224"/>
      <x:c r="N7" s="225"/>
      <x:c r="O7" s="227" t="str">
        <x:f>IF(A7="","",IF(OR(L7="未成交",L7="暂停",N7=""),"",IF(N7&lt;'说明与目标'!$B$6,"逾期","正常")))</x:f>
      </x:c>
      <x:c r="P7" s="174"/>
      <x:c r="Q7" s="201"/>
    </x:row>
    <x:row r="8">
      <x:c r="A8" s="224"/>
      <x:c r="B8" s="225"/>
      <x:c r="C8" s="224"/>
      <x:c r="D8" s="224"/>
      <x:c r="E8" s="224"/>
      <x:c r="F8" s="224"/>
      <x:c r="G8" s="224"/>
      <x:c r="H8" s="224"/>
      <x:c r="I8" s="226"/>
      <x:c r="J8" s="224"/>
      <x:c r="K8" s="225"/>
      <x:c r="L8" s="224"/>
      <x:c r="M8" s="224"/>
      <x:c r="N8" s="225"/>
      <x:c r="O8" s="227" t="str">
        <x:f>IF(A8="","",IF(OR(L8="未成交",L8="暂停",N8=""),"",IF(N8&lt;'说明与目标'!$B$6,"逾期","正常")))</x:f>
      </x:c>
      <x:c r="P8" s="174"/>
      <x:c r="Q8" s="201"/>
    </x:row>
    <x:row r="9">
      <x:c r="A9" s="224"/>
      <x:c r="B9" s="225"/>
      <x:c r="C9" s="224"/>
      <x:c r="D9" s="224"/>
      <x:c r="E9" s="224"/>
      <x:c r="F9" s="224"/>
      <x:c r="G9" s="224"/>
      <x:c r="H9" s="224"/>
      <x:c r="I9" s="226"/>
      <x:c r="J9" s="224"/>
      <x:c r="K9" s="225"/>
      <x:c r="L9" s="224"/>
      <x:c r="M9" s="224"/>
      <x:c r="N9" s="225"/>
      <x:c r="O9" s="227" t="str">
        <x:f>IF(A9="","",IF(OR(L9="未成交",L9="暂停",N9=""),"",IF(N9&lt;'说明与目标'!$B$6,"逾期","正常")))</x:f>
      </x:c>
      <x:c r="P9" s="174"/>
      <x:c r="Q9" s="201"/>
    </x:row>
    <x:row r="10">
      <x:c r="A10" s="224"/>
      <x:c r="B10" s="225"/>
      <x:c r="C10" s="224"/>
      <x:c r="D10" s="224"/>
      <x:c r="E10" s="224"/>
      <x:c r="F10" s="224"/>
      <x:c r="G10" s="224"/>
      <x:c r="H10" s="224"/>
      <x:c r="I10" s="226"/>
      <x:c r="J10" s="224"/>
      <x:c r="K10" s="225"/>
      <x:c r="L10" s="224"/>
      <x:c r="M10" s="224"/>
      <x:c r="N10" s="225"/>
      <x:c r="O10" s="227" t="str">
        <x:f>IF(A10="","",IF(OR(L10="未成交",L10="暂停",N10=""),"",IF(N10&lt;'说明与目标'!$B$6,"逾期","正常")))</x:f>
      </x:c>
      <x:c r="P10" s="174"/>
      <x:c r="Q10" s="201"/>
    </x:row>
    <x:row r="11">
      <x:c r="A11" s="224"/>
      <x:c r="B11" s="225"/>
      <x:c r="C11" s="224"/>
      <x:c r="D11" s="224"/>
      <x:c r="E11" s="224"/>
      <x:c r="F11" s="224"/>
      <x:c r="G11" s="224"/>
      <x:c r="H11" s="224"/>
      <x:c r="I11" s="226"/>
      <x:c r="J11" s="224"/>
      <x:c r="K11" s="225"/>
      <x:c r="L11" s="224"/>
      <x:c r="M11" s="224"/>
      <x:c r="N11" s="225"/>
      <x:c r="O11" s="227" t="str">
        <x:f>IF(A11="","",IF(OR(L11="未成交",L11="暂停",N11=""),"",IF(N11&lt;'说明与目标'!$B$6,"逾期","正常")))</x:f>
      </x:c>
      <x:c r="P11" s="174"/>
      <x:c r="Q11" s="201"/>
    </x:row>
    <x:row r="12">
      <x:c r="A12" s="224"/>
      <x:c r="B12" s="225"/>
      <x:c r="C12" s="224"/>
      <x:c r="D12" s="224"/>
      <x:c r="E12" s="224"/>
      <x:c r="F12" s="224"/>
      <x:c r="G12" s="224"/>
      <x:c r="H12" s="224"/>
      <x:c r="I12" s="226"/>
      <x:c r="J12" s="224"/>
      <x:c r="K12" s="225"/>
      <x:c r="L12" s="224"/>
      <x:c r="M12" s="224"/>
      <x:c r="N12" s="225"/>
      <x:c r="O12" s="227" t="str">
        <x:f>IF(A12="","",IF(OR(L12="未成交",L12="暂停",N12=""),"",IF(N12&lt;'说明与目标'!$B$6,"逾期","正常")))</x:f>
      </x:c>
      <x:c r="P12" s="174"/>
      <x:c r="Q12" s="201"/>
    </x:row>
    <x:row r="13">
      <x:c r="A13" s="224"/>
      <x:c r="B13" s="225"/>
      <x:c r="C13" s="224"/>
      <x:c r="D13" s="224"/>
      <x:c r="E13" s="224"/>
      <x:c r="F13" s="224"/>
      <x:c r="G13" s="224"/>
      <x:c r="H13" s="224"/>
      <x:c r="I13" s="226"/>
      <x:c r="J13" s="224"/>
      <x:c r="K13" s="225"/>
      <x:c r="L13" s="224"/>
      <x:c r="M13" s="224"/>
      <x:c r="N13" s="225"/>
      <x:c r="O13" s="227" t="str">
        <x:f>IF(A13="","",IF(OR(L13="未成交",L13="暂停",N13=""),"",IF(N13&lt;'说明与目标'!$B$6,"逾期","正常")))</x:f>
      </x:c>
      <x:c r="P13" s="174"/>
      <x:c r="Q13" s="201"/>
    </x:row>
    <x:row r="14">
      <x:c r="A14" s="224"/>
      <x:c r="B14" s="225"/>
      <x:c r="C14" s="224"/>
      <x:c r="D14" s="224"/>
      <x:c r="E14" s="224"/>
      <x:c r="F14" s="224"/>
      <x:c r="G14" s="224"/>
      <x:c r="H14" s="224"/>
      <x:c r="I14" s="226"/>
      <x:c r="J14" s="224"/>
      <x:c r="K14" s="225"/>
      <x:c r="L14" s="224"/>
      <x:c r="M14" s="224"/>
      <x:c r="N14" s="225"/>
      <x:c r="O14" s="227" t="str">
        <x:f>IF(A14="","",IF(OR(L14="未成交",L14="暂停",N14=""),"",IF(N14&lt;'说明与目标'!$B$6,"逾期","正常")))</x:f>
      </x:c>
      <x:c r="P14" s="174"/>
      <x:c r="Q14" s="201"/>
    </x:row>
    <x:row r="15">
      <x:c r="A15" s="224"/>
      <x:c r="B15" s="225"/>
      <x:c r="C15" s="224"/>
      <x:c r="D15" s="224"/>
      <x:c r="E15" s="224"/>
      <x:c r="F15" s="224"/>
      <x:c r="G15" s="224"/>
      <x:c r="H15" s="224"/>
      <x:c r="I15" s="226"/>
      <x:c r="J15" s="224"/>
      <x:c r="K15" s="225"/>
      <x:c r="L15" s="224"/>
      <x:c r="M15" s="224"/>
      <x:c r="N15" s="225"/>
      <x:c r="O15" s="227" t="str">
        <x:f>IF(A15="","",IF(OR(L15="未成交",L15="暂停",N15=""),"",IF(N15&lt;'说明与目标'!$B$6,"逾期","正常")))</x:f>
      </x:c>
      <x:c r="P15" s="174"/>
      <x:c r="Q15" s="201"/>
    </x:row>
    <x:row r="16">
      <x:c r="A16" s="224"/>
      <x:c r="B16" s="225"/>
      <x:c r="C16" s="224"/>
      <x:c r="D16" s="224"/>
      <x:c r="E16" s="224"/>
      <x:c r="F16" s="224"/>
      <x:c r="G16" s="224"/>
      <x:c r="H16" s="224"/>
      <x:c r="I16" s="226"/>
      <x:c r="J16" s="224"/>
      <x:c r="K16" s="225"/>
      <x:c r="L16" s="224"/>
      <x:c r="M16" s="224"/>
      <x:c r="N16" s="225"/>
      <x:c r="O16" s="227" t="str">
        <x:f>IF(A16="","",IF(OR(L16="未成交",L16="暂停",N16=""),"",IF(N16&lt;'说明与目标'!$B$6,"逾期","正常")))</x:f>
      </x:c>
      <x:c r="P16" s="174"/>
      <x:c r="Q16" s="201"/>
    </x:row>
    <x:row r="17">
      <x:c r="A17" s="224"/>
      <x:c r="B17" s="225"/>
      <x:c r="C17" s="224"/>
      <x:c r="D17" s="224"/>
      <x:c r="E17" s="224"/>
      <x:c r="F17" s="224"/>
      <x:c r="G17" s="224"/>
      <x:c r="H17" s="224"/>
      <x:c r="I17" s="226"/>
      <x:c r="J17" s="224"/>
      <x:c r="K17" s="225"/>
      <x:c r="L17" s="224"/>
      <x:c r="M17" s="224"/>
      <x:c r="N17" s="225"/>
      <x:c r="O17" s="227" t="str">
        <x:f>IF(A17="","",IF(OR(L17="未成交",L17="暂停",N17=""),"",IF(N17&lt;'说明与目标'!$B$6,"逾期","正常")))</x:f>
      </x:c>
      <x:c r="P17" s="174"/>
      <x:c r="Q17" s="201"/>
    </x:row>
    <x:row r="18">
      <x:c r="A18" s="224"/>
      <x:c r="B18" s="225"/>
      <x:c r="C18" s="224"/>
      <x:c r="D18" s="224"/>
      <x:c r="E18" s="224"/>
      <x:c r="F18" s="224"/>
      <x:c r="G18" s="224"/>
      <x:c r="H18" s="224"/>
      <x:c r="I18" s="226"/>
      <x:c r="J18" s="224"/>
      <x:c r="K18" s="225"/>
      <x:c r="L18" s="224"/>
      <x:c r="M18" s="224"/>
      <x:c r="N18" s="225"/>
      <x:c r="O18" s="227" t="str">
        <x:f>IF(A18="","",IF(OR(L18="未成交",L18="暂停",N18=""),"",IF(N18&lt;'说明与目标'!$B$6,"逾期","正常")))</x:f>
      </x:c>
      <x:c r="P18" s="174"/>
      <x:c r="Q18" s="201"/>
    </x:row>
    <x:row r="19">
      <x:c r="A19" s="224"/>
      <x:c r="B19" s="225"/>
      <x:c r="C19" s="224"/>
      <x:c r="D19" s="224"/>
      <x:c r="E19" s="224"/>
      <x:c r="F19" s="224"/>
      <x:c r="G19" s="224"/>
      <x:c r="H19" s="224"/>
      <x:c r="I19" s="226"/>
      <x:c r="J19" s="224"/>
      <x:c r="K19" s="225"/>
      <x:c r="L19" s="224"/>
      <x:c r="M19" s="224"/>
      <x:c r="N19" s="225"/>
      <x:c r="O19" s="227" t="str">
        <x:f>IF(A19="","",IF(OR(L19="未成交",L19="暂停",N19=""),"",IF(N19&lt;'说明与目标'!$B$6,"逾期","正常")))</x:f>
      </x:c>
      <x:c r="P19" s="174"/>
      <x:c r="Q19" s="201"/>
    </x:row>
    <x:row r="20">
      <x:c r="A20" s="224"/>
      <x:c r="B20" s="225"/>
      <x:c r="C20" s="224"/>
      <x:c r="D20" s="224"/>
      <x:c r="E20" s="224"/>
      <x:c r="F20" s="224"/>
      <x:c r="G20" s="224"/>
      <x:c r="H20" s="224"/>
      <x:c r="I20" s="226"/>
      <x:c r="J20" s="224"/>
      <x:c r="K20" s="225"/>
      <x:c r="L20" s="224"/>
      <x:c r="M20" s="224"/>
      <x:c r="N20" s="225"/>
      <x:c r="O20" s="227" t="str">
        <x:f>IF(A20="","",IF(OR(L20="未成交",L20="暂停",N20=""),"",IF(N20&lt;'说明与目标'!$B$6,"逾期","正常")))</x:f>
      </x:c>
      <x:c r="P20" s="174"/>
      <x:c r="Q20" s="201"/>
    </x:row>
    <x:row r="21">
      <x:c r="A21" s="224"/>
      <x:c r="B21" s="225"/>
      <x:c r="C21" s="224"/>
      <x:c r="D21" s="224"/>
      <x:c r="E21" s="224"/>
      <x:c r="F21" s="224"/>
      <x:c r="G21" s="224"/>
      <x:c r="H21" s="224"/>
      <x:c r="I21" s="226"/>
      <x:c r="J21" s="224"/>
      <x:c r="K21" s="225"/>
      <x:c r="L21" s="224"/>
      <x:c r="M21" s="224"/>
      <x:c r="N21" s="225"/>
      <x:c r="O21" s="227" t="str">
        <x:f>IF(A21="","",IF(OR(L21="未成交",L21="暂停",N21=""),"",IF(N21&lt;'说明与目标'!$B$6,"逾期","正常")))</x:f>
      </x:c>
      <x:c r="P21" s="174"/>
      <x:c r="Q21" s="201"/>
    </x:row>
    <x:row r="22">
      <x:c r="A22" s="224"/>
      <x:c r="B22" s="225"/>
      <x:c r="C22" s="224"/>
      <x:c r="D22" s="224"/>
      <x:c r="E22" s="224"/>
      <x:c r="F22" s="224"/>
      <x:c r="G22" s="224"/>
      <x:c r="H22" s="224"/>
      <x:c r="I22" s="226"/>
      <x:c r="J22" s="224"/>
      <x:c r="K22" s="225"/>
      <x:c r="L22" s="224"/>
      <x:c r="M22" s="224"/>
      <x:c r="N22" s="225"/>
      <x:c r="O22" s="227" t="str">
        <x:f>IF(A22="","",IF(OR(L22="未成交",L22="暂停",N22=""),"",IF(N22&lt;'说明与目标'!$B$6,"逾期","正常")))</x:f>
      </x:c>
      <x:c r="P22" s="174"/>
      <x:c r="Q22" s="201"/>
    </x:row>
    <x:row r="23">
      <x:c r="A23" s="224"/>
      <x:c r="B23" s="225"/>
      <x:c r="C23" s="224"/>
      <x:c r="D23" s="224"/>
      <x:c r="E23" s="224"/>
      <x:c r="F23" s="224"/>
      <x:c r="G23" s="224"/>
      <x:c r="H23" s="224"/>
      <x:c r="I23" s="226"/>
      <x:c r="J23" s="224"/>
      <x:c r="K23" s="225"/>
      <x:c r="L23" s="224"/>
      <x:c r="M23" s="224"/>
      <x:c r="N23" s="225"/>
      <x:c r="O23" s="227" t="str">
        <x:f>IF(A23="","",IF(OR(L23="未成交",L23="暂停",N23=""),"",IF(N23&lt;'说明与目标'!$B$6,"逾期","正常")))</x:f>
      </x:c>
      <x:c r="P23" s="174"/>
      <x:c r="Q23" s="201"/>
    </x:row>
    <x:row r="24">
      <x:c r="A24" s="224"/>
      <x:c r="B24" s="225"/>
      <x:c r="C24" s="224"/>
      <x:c r="D24" s="224"/>
      <x:c r="E24" s="224"/>
      <x:c r="F24" s="224"/>
      <x:c r="G24" s="224"/>
      <x:c r="H24" s="224"/>
      <x:c r="I24" s="226"/>
      <x:c r="J24" s="224"/>
      <x:c r="K24" s="225"/>
      <x:c r="L24" s="224"/>
      <x:c r="M24" s="224"/>
      <x:c r="N24" s="225"/>
      <x:c r="O24" s="227" t="str">
        <x:f>IF(A24="","",IF(OR(L24="未成交",L24="暂停",N24=""),"",IF(N24&lt;'说明与目标'!$B$6,"逾期","正常")))</x:f>
      </x:c>
      <x:c r="P24" s="174"/>
      <x:c r="Q24" s="201"/>
    </x:row>
    <x:row r="25">
      <x:c r="A25" s="224"/>
      <x:c r="B25" s="225"/>
      <x:c r="C25" s="224"/>
      <x:c r="D25" s="224"/>
      <x:c r="E25" s="224"/>
      <x:c r="F25" s="224"/>
      <x:c r="G25" s="224"/>
      <x:c r="H25" s="224"/>
      <x:c r="I25" s="226"/>
      <x:c r="J25" s="224"/>
      <x:c r="K25" s="225"/>
      <x:c r="L25" s="224"/>
      <x:c r="M25" s="224"/>
      <x:c r="N25" s="225"/>
      <x:c r="O25" s="227" t="str">
        <x:f>IF(A25="","",IF(OR(L25="未成交",L25="暂停",N25=""),"",IF(N25&lt;'说明与目标'!$B$6,"逾期","正常")))</x:f>
      </x:c>
      <x:c r="P25" s="174"/>
      <x:c r="Q25" s="201"/>
    </x:row>
    <x:row r="26">
      <x:c r="A26" s="224"/>
      <x:c r="B26" s="225"/>
      <x:c r="C26" s="224"/>
      <x:c r="D26" s="224"/>
      <x:c r="E26" s="224"/>
      <x:c r="F26" s="224"/>
      <x:c r="G26" s="224"/>
      <x:c r="H26" s="224"/>
      <x:c r="I26" s="226"/>
      <x:c r="J26" s="224"/>
      <x:c r="K26" s="225"/>
      <x:c r="L26" s="224"/>
      <x:c r="M26" s="224"/>
      <x:c r="N26" s="225"/>
      <x:c r="O26" s="227" t="str">
        <x:f>IF(A26="","",IF(OR(L26="未成交",L26="暂停",N26=""),"",IF(N26&lt;'说明与目标'!$B$6,"逾期","正常")))</x:f>
      </x:c>
      <x:c r="P26" s="174"/>
      <x:c r="Q26" s="201"/>
    </x:row>
    <x:row r="27">
      <x:c r="A27" s="224"/>
      <x:c r="B27" s="225"/>
      <x:c r="C27" s="224"/>
      <x:c r="D27" s="224"/>
      <x:c r="E27" s="224"/>
      <x:c r="F27" s="224"/>
      <x:c r="G27" s="224"/>
      <x:c r="H27" s="224"/>
      <x:c r="I27" s="226"/>
      <x:c r="J27" s="224"/>
      <x:c r="K27" s="225"/>
      <x:c r="L27" s="224"/>
      <x:c r="M27" s="224"/>
      <x:c r="N27" s="225"/>
      <x:c r="O27" s="227" t="str">
        <x:f>IF(A27="","",IF(OR(L27="未成交",L27="暂停",N27=""),"",IF(N27&lt;'说明与目标'!$B$6,"逾期","正常")))</x:f>
      </x:c>
      <x:c r="P27" s="174"/>
      <x:c r="Q27" s="201"/>
    </x:row>
    <x:row r="28">
      <x:c r="A28" s="224"/>
      <x:c r="B28" s="225"/>
      <x:c r="C28" s="224"/>
      <x:c r="D28" s="224"/>
      <x:c r="E28" s="224"/>
      <x:c r="F28" s="224"/>
      <x:c r="G28" s="224"/>
      <x:c r="H28" s="224"/>
      <x:c r="I28" s="226"/>
      <x:c r="J28" s="224"/>
      <x:c r="K28" s="225"/>
      <x:c r="L28" s="224"/>
      <x:c r="M28" s="224"/>
      <x:c r="N28" s="225"/>
      <x:c r="O28" s="227" t="str">
        <x:f>IF(A28="","",IF(OR(L28="未成交",L28="暂停",N28=""),"",IF(N28&lt;'说明与目标'!$B$6,"逾期","正常")))</x:f>
      </x:c>
      <x:c r="P28" s="174"/>
      <x:c r="Q28" s="201"/>
    </x:row>
    <x:row r="29">
      <x:c r="A29" s="224"/>
      <x:c r="B29" s="225"/>
      <x:c r="C29" s="224"/>
      <x:c r="D29" s="224"/>
      <x:c r="E29" s="224"/>
      <x:c r="F29" s="224"/>
      <x:c r="G29" s="224"/>
      <x:c r="H29" s="224"/>
      <x:c r="I29" s="226"/>
      <x:c r="J29" s="224"/>
      <x:c r="K29" s="225"/>
      <x:c r="L29" s="224"/>
      <x:c r="M29" s="224"/>
      <x:c r="N29" s="225"/>
      <x:c r="O29" s="227" t="str">
        <x:f>IF(A29="","",IF(OR(L29="未成交",L29="暂停",N29=""),"",IF(N29&lt;'说明与目标'!$B$6,"逾期","正常")))</x:f>
      </x:c>
      <x:c r="P29" s="174"/>
      <x:c r="Q29" s="201"/>
    </x:row>
    <x:row r="30">
      <x:c r="A30" s="224"/>
      <x:c r="B30" s="225"/>
      <x:c r="C30" s="224"/>
      <x:c r="D30" s="224"/>
      <x:c r="E30" s="224"/>
      <x:c r="F30" s="224"/>
      <x:c r="G30" s="224"/>
      <x:c r="H30" s="224"/>
      <x:c r="I30" s="226"/>
      <x:c r="J30" s="224"/>
      <x:c r="K30" s="225"/>
      <x:c r="L30" s="224"/>
      <x:c r="M30" s="224"/>
      <x:c r="N30" s="225"/>
      <x:c r="O30" s="227" t="str">
        <x:f>IF(A30="","",IF(OR(L30="未成交",L30="暂停",N30=""),"",IF(N30&lt;'说明与目标'!$B$6,"逾期","正常")))</x:f>
      </x:c>
      <x:c r="P30" s="174"/>
      <x:c r="Q30" s="201"/>
    </x:row>
    <x:row r="31">
      <x:c r="A31" s="224"/>
      <x:c r="B31" s="225"/>
      <x:c r="C31" s="224"/>
      <x:c r="D31" s="224"/>
      <x:c r="E31" s="224"/>
      <x:c r="F31" s="224"/>
      <x:c r="G31" s="224"/>
      <x:c r="H31" s="224"/>
      <x:c r="I31" s="226"/>
      <x:c r="J31" s="224"/>
      <x:c r="K31" s="225"/>
      <x:c r="L31" s="224"/>
      <x:c r="M31" s="224"/>
      <x:c r="N31" s="225"/>
      <x:c r="O31" s="227" t="str">
        <x:f>IF(A31="","",IF(OR(L31="未成交",L31="暂停",N31=""),"",IF(N31&lt;'说明与目标'!$B$6,"逾期","正常")))</x:f>
      </x:c>
      <x:c r="P31" s="174"/>
      <x:c r="Q31" s="201"/>
    </x:row>
    <x:row r="32">
      <x:c r="A32" s="224"/>
      <x:c r="B32" s="225"/>
      <x:c r="C32" s="224"/>
      <x:c r="D32" s="224"/>
      <x:c r="E32" s="224"/>
      <x:c r="F32" s="224"/>
      <x:c r="G32" s="224"/>
      <x:c r="H32" s="224"/>
      <x:c r="I32" s="226"/>
      <x:c r="J32" s="224"/>
      <x:c r="K32" s="225"/>
      <x:c r="L32" s="224"/>
      <x:c r="M32" s="224"/>
      <x:c r="N32" s="225"/>
      <x:c r="O32" s="227" t="str">
        <x:f>IF(A32="","",IF(OR(L32="未成交",L32="暂停",N32=""),"",IF(N32&lt;'说明与目标'!$B$6,"逾期","正常")))</x:f>
      </x:c>
      <x:c r="P32" s="174"/>
      <x:c r="Q32" s="201"/>
    </x:row>
    <x:row r="33">
      <x:c r="A33" s="224"/>
      <x:c r="B33" s="225"/>
      <x:c r="C33" s="224"/>
      <x:c r="D33" s="224"/>
      <x:c r="E33" s="224"/>
      <x:c r="F33" s="224"/>
      <x:c r="G33" s="224"/>
      <x:c r="H33" s="224"/>
      <x:c r="I33" s="226"/>
      <x:c r="J33" s="224"/>
      <x:c r="K33" s="225"/>
      <x:c r="L33" s="224"/>
      <x:c r="M33" s="224"/>
      <x:c r="N33" s="225"/>
      <x:c r="O33" s="227" t="str">
        <x:f>IF(A33="","",IF(OR(L33="未成交",L33="暂停",N33=""),"",IF(N33&lt;'说明与目标'!$B$6,"逾期","正常")))</x:f>
      </x:c>
      <x:c r="P33" s="174"/>
      <x:c r="Q33" s="201"/>
    </x:row>
    <x:row r="34">
      <x:c r="A34" s="224"/>
      <x:c r="B34" s="225"/>
      <x:c r="C34" s="224"/>
      <x:c r="D34" s="224"/>
      <x:c r="E34" s="224"/>
      <x:c r="F34" s="224"/>
      <x:c r="G34" s="224"/>
      <x:c r="H34" s="224"/>
      <x:c r="I34" s="226"/>
      <x:c r="J34" s="224"/>
      <x:c r="K34" s="225"/>
      <x:c r="L34" s="224"/>
      <x:c r="M34" s="224"/>
      <x:c r="N34" s="225"/>
      <x:c r="O34" s="227" t="str">
        <x:f>IF(A34="","",IF(OR(L34="未成交",L34="暂停",N34=""),"",IF(N34&lt;'说明与目标'!$B$6,"逾期","正常")))</x:f>
      </x:c>
      <x:c r="P34" s="174"/>
      <x:c r="Q34" s="201"/>
    </x:row>
    <x:row r="35">
      <x:c r="A35" s="224"/>
      <x:c r="B35" s="225"/>
      <x:c r="C35" s="224"/>
      <x:c r="D35" s="224"/>
      <x:c r="E35" s="224"/>
      <x:c r="F35" s="224"/>
      <x:c r="G35" s="224"/>
      <x:c r="H35" s="224"/>
      <x:c r="I35" s="226"/>
      <x:c r="J35" s="224"/>
      <x:c r="K35" s="225"/>
      <x:c r="L35" s="224"/>
      <x:c r="M35" s="224"/>
      <x:c r="N35" s="225"/>
      <x:c r="O35" s="227" t="str">
        <x:f>IF(A35="","",IF(OR(L35="未成交",L35="暂停",N35=""),"",IF(N35&lt;'说明与目标'!$B$6,"逾期","正常")))</x:f>
      </x:c>
      <x:c r="P35" s="174"/>
      <x:c r="Q35" s="201"/>
    </x:row>
    <x:row r="36">
      <x:c r="A36" s="224"/>
      <x:c r="B36" s="225"/>
      <x:c r="C36" s="224"/>
      <x:c r="D36" s="224"/>
      <x:c r="E36" s="224"/>
      <x:c r="F36" s="224"/>
      <x:c r="G36" s="224"/>
      <x:c r="H36" s="224"/>
      <x:c r="I36" s="226"/>
      <x:c r="J36" s="224"/>
      <x:c r="K36" s="225"/>
      <x:c r="L36" s="224"/>
      <x:c r="M36" s="224"/>
      <x:c r="N36" s="225"/>
      <x:c r="O36" s="227" t="str">
        <x:f>IF(A36="","",IF(OR(L36="未成交",L36="暂停",N36=""),"",IF(N36&lt;'说明与目标'!$B$6,"逾期","正常")))</x:f>
      </x:c>
      <x:c r="P36" s="174"/>
      <x:c r="Q36" s="201"/>
    </x:row>
    <x:row r="37">
      <x:c r="A37" s="224"/>
      <x:c r="B37" s="225"/>
      <x:c r="C37" s="224"/>
      <x:c r="D37" s="224"/>
      <x:c r="E37" s="224"/>
      <x:c r="F37" s="224"/>
      <x:c r="G37" s="224"/>
      <x:c r="H37" s="224"/>
      <x:c r="I37" s="226"/>
      <x:c r="J37" s="224"/>
      <x:c r="K37" s="225"/>
      <x:c r="L37" s="224"/>
      <x:c r="M37" s="224"/>
      <x:c r="N37" s="225"/>
      <x:c r="O37" s="227" t="str">
        <x:f>IF(A37="","",IF(OR(L37="未成交",L37="暂停",N37=""),"",IF(N37&lt;'说明与目标'!$B$6,"逾期","正常")))</x:f>
      </x:c>
      <x:c r="P37" s="174"/>
      <x:c r="Q37" s="201"/>
    </x:row>
    <x:row r="38">
      <x:c r="A38" s="224"/>
      <x:c r="B38" s="225"/>
      <x:c r="C38" s="224"/>
      <x:c r="D38" s="224"/>
      <x:c r="E38" s="224"/>
      <x:c r="F38" s="224"/>
      <x:c r="G38" s="224"/>
      <x:c r="H38" s="224"/>
      <x:c r="I38" s="226"/>
      <x:c r="J38" s="224"/>
      <x:c r="K38" s="225"/>
      <x:c r="L38" s="224"/>
      <x:c r="M38" s="224"/>
      <x:c r="N38" s="225"/>
      <x:c r="O38" s="227" t="str">
        <x:f>IF(A38="","",IF(OR(L38="未成交",L38="暂停",N38=""),"",IF(N38&lt;'说明与目标'!$B$6,"逾期","正常")))</x:f>
      </x:c>
      <x:c r="P38" s="174"/>
      <x:c r="Q38" s="201"/>
    </x:row>
    <x:row r="39">
      <x:c r="A39" s="224"/>
      <x:c r="B39" s="225"/>
      <x:c r="C39" s="224"/>
      <x:c r="D39" s="224"/>
      <x:c r="E39" s="224"/>
      <x:c r="F39" s="224"/>
      <x:c r="G39" s="224"/>
      <x:c r="H39" s="224"/>
      <x:c r="I39" s="226"/>
      <x:c r="J39" s="224"/>
      <x:c r="K39" s="225"/>
      <x:c r="L39" s="224"/>
      <x:c r="M39" s="224"/>
      <x:c r="N39" s="225"/>
      <x:c r="O39" s="227" t="str">
        <x:f>IF(A39="","",IF(OR(L39="未成交",L39="暂停",N39=""),"",IF(N39&lt;'说明与目标'!$B$6,"逾期","正常")))</x:f>
      </x:c>
      <x:c r="P39" s="174"/>
      <x:c r="Q39" s="201"/>
    </x:row>
    <x:row r="40">
      <x:c r="A40" s="224"/>
      <x:c r="B40" s="225"/>
      <x:c r="C40" s="224"/>
      <x:c r="D40" s="224"/>
      <x:c r="E40" s="224"/>
      <x:c r="F40" s="224"/>
      <x:c r="G40" s="224"/>
      <x:c r="H40" s="224"/>
      <x:c r="I40" s="226"/>
      <x:c r="J40" s="224"/>
      <x:c r="K40" s="225"/>
      <x:c r="L40" s="224"/>
      <x:c r="M40" s="224"/>
      <x:c r="N40" s="225"/>
      <x:c r="O40" s="227" t="str">
        <x:f>IF(A40="","",IF(OR(L40="未成交",L40="暂停",N40=""),"",IF(N40&lt;'说明与目标'!$B$6,"逾期","正常")))</x:f>
      </x:c>
      <x:c r="P40" s="174"/>
      <x:c r="Q40" s="201"/>
    </x:row>
    <x:row r="41">
      <x:c r="A41" s="224"/>
      <x:c r="B41" s="225"/>
      <x:c r="C41" s="224"/>
      <x:c r="D41" s="224"/>
      <x:c r="E41" s="224"/>
      <x:c r="F41" s="224"/>
      <x:c r="G41" s="224"/>
      <x:c r="H41" s="224"/>
      <x:c r="I41" s="226"/>
      <x:c r="J41" s="224"/>
      <x:c r="K41" s="225"/>
      <x:c r="L41" s="224"/>
      <x:c r="M41" s="224"/>
      <x:c r="N41" s="225"/>
      <x:c r="O41" s="227" t="str">
        <x:f>IF(A41="","",IF(OR(L41="未成交",L41="暂停",N41=""),"",IF(N41&lt;'说明与目标'!$B$6,"逾期","正常")))</x:f>
      </x:c>
      <x:c r="P41" s="174"/>
      <x:c r="Q41" s="201"/>
    </x:row>
    <x:row r="42">
      <x:c r="A42" s="224"/>
      <x:c r="B42" s="225"/>
      <x:c r="C42" s="224"/>
      <x:c r="D42" s="224"/>
      <x:c r="E42" s="224"/>
      <x:c r="F42" s="224"/>
      <x:c r="G42" s="224"/>
      <x:c r="H42" s="224"/>
      <x:c r="I42" s="226"/>
      <x:c r="J42" s="224"/>
      <x:c r="K42" s="225"/>
      <x:c r="L42" s="224"/>
      <x:c r="M42" s="224"/>
      <x:c r="N42" s="225"/>
      <x:c r="O42" s="227" t="str">
        <x:f>IF(A42="","",IF(OR(L42="未成交",L42="暂停",N42=""),"",IF(N42&lt;'说明与目标'!$B$6,"逾期","正常")))</x:f>
      </x:c>
      <x:c r="P42" s="174"/>
      <x:c r="Q42" s="201"/>
    </x:row>
    <x:row r="43">
      <x:c r="A43" s="224"/>
      <x:c r="B43" s="225"/>
      <x:c r="C43" s="224"/>
      <x:c r="D43" s="224"/>
      <x:c r="E43" s="224"/>
      <x:c r="F43" s="224"/>
      <x:c r="G43" s="224"/>
      <x:c r="H43" s="224"/>
      <x:c r="I43" s="226"/>
      <x:c r="J43" s="224"/>
      <x:c r="K43" s="225"/>
      <x:c r="L43" s="224"/>
      <x:c r="M43" s="224"/>
      <x:c r="N43" s="225"/>
      <x:c r="O43" s="227" t="str">
        <x:f>IF(A43="","",IF(OR(L43="未成交",L43="暂停",N43=""),"",IF(N43&lt;'说明与目标'!$B$6,"逾期","正常")))</x:f>
      </x:c>
      <x:c r="P43" s="174"/>
      <x:c r="Q43" s="201"/>
    </x:row>
    <x:row r="44">
      <x:c r="A44" s="224"/>
      <x:c r="B44" s="225"/>
      <x:c r="C44" s="224"/>
      <x:c r="D44" s="224"/>
      <x:c r="E44" s="224"/>
      <x:c r="F44" s="224"/>
      <x:c r="G44" s="224"/>
      <x:c r="H44" s="224"/>
      <x:c r="I44" s="226"/>
      <x:c r="J44" s="224"/>
      <x:c r="K44" s="225"/>
      <x:c r="L44" s="224"/>
      <x:c r="M44" s="224"/>
      <x:c r="N44" s="225"/>
      <x:c r="O44" s="227" t="str">
        <x:f>IF(A44="","",IF(OR(L44="未成交",L44="暂停",N44=""),"",IF(N44&lt;'说明与目标'!$B$6,"逾期","正常")))</x:f>
      </x:c>
      <x:c r="P44" s="174"/>
      <x:c r="Q44" s="201"/>
    </x:row>
    <x:row r="45">
      <x:c r="A45" s="224"/>
      <x:c r="B45" s="225"/>
      <x:c r="C45" s="224"/>
      <x:c r="D45" s="224"/>
      <x:c r="E45" s="224"/>
      <x:c r="F45" s="224"/>
      <x:c r="G45" s="224"/>
      <x:c r="H45" s="224"/>
      <x:c r="I45" s="226"/>
      <x:c r="J45" s="224"/>
      <x:c r="K45" s="225"/>
      <x:c r="L45" s="224"/>
      <x:c r="M45" s="224"/>
      <x:c r="N45" s="225"/>
      <x:c r="O45" s="227" t="str">
        <x:f>IF(A45="","",IF(OR(L45="未成交",L45="暂停",N45=""),"",IF(N45&lt;'说明与目标'!$B$6,"逾期","正常")))</x:f>
      </x:c>
      <x:c r="P45" s="174"/>
      <x:c r="Q45" s="201"/>
    </x:row>
    <x:row r="46">
      <x:c r="A46" s="224"/>
      <x:c r="B46" s="225"/>
      <x:c r="C46" s="224"/>
      <x:c r="D46" s="224"/>
      <x:c r="E46" s="224"/>
      <x:c r="F46" s="224"/>
      <x:c r="G46" s="224"/>
      <x:c r="H46" s="224"/>
      <x:c r="I46" s="226"/>
      <x:c r="J46" s="224"/>
      <x:c r="K46" s="225"/>
      <x:c r="L46" s="224"/>
      <x:c r="M46" s="224"/>
      <x:c r="N46" s="225"/>
      <x:c r="O46" s="227" t="str">
        <x:f>IF(A46="","",IF(OR(L46="未成交",L46="暂停",N46=""),"",IF(N46&lt;'说明与目标'!$B$6,"逾期","正常")))</x:f>
      </x:c>
      <x:c r="P46" s="174"/>
      <x:c r="Q46" s="201"/>
    </x:row>
    <x:row r="47">
      <x:c r="A47" s="224"/>
      <x:c r="B47" s="225"/>
      <x:c r="C47" s="224"/>
      <x:c r="D47" s="224"/>
      <x:c r="E47" s="224"/>
      <x:c r="F47" s="224"/>
      <x:c r="G47" s="224"/>
      <x:c r="H47" s="224"/>
      <x:c r="I47" s="226"/>
      <x:c r="J47" s="224"/>
      <x:c r="K47" s="225"/>
      <x:c r="L47" s="224"/>
      <x:c r="M47" s="224"/>
      <x:c r="N47" s="225"/>
      <x:c r="O47" s="227" t="str">
        <x:f>IF(A47="","",IF(OR(L47="未成交",L47="暂停",N47=""),"",IF(N47&lt;'说明与目标'!$B$6,"逾期","正常")))</x:f>
      </x:c>
      <x:c r="P47" s="174"/>
      <x:c r="Q47" s="201"/>
    </x:row>
    <x:row r="48">
      <x:c r="A48" s="224"/>
      <x:c r="B48" s="225"/>
      <x:c r="C48" s="224"/>
      <x:c r="D48" s="224"/>
      <x:c r="E48" s="224"/>
      <x:c r="F48" s="224"/>
      <x:c r="G48" s="224"/>
      <x:c r="H48" s="224"/>
      <x:c r="I48" s="226"/>
      <x:c r="J48" s="224"/>
      <x:c r="K48" s="225"/>
      <x:c r="L48" s="224"/>
      <x:c r="M48" s="224"/>
      <x:c r="N48" s="225"/>
      <x:c r="O48" s="227" t="str">
        <x:f>IF(A48="","",IF(OR(L48="未成交",L48="暂停",N48=""),"",IF(N48&lt;'说明与目标'!$B$6,"逾期","正常")))</x:f>
      </x:c>
      <x:c r="P48" s="174"/>
      <x:c r="Q48" s="201"/>
    </x:row>
    <x:row r="49">
      <x:c r="A49" s="224"/>
      <x:c r="B49" s="225"/>
      <x:c r="C49" s="224"/>
      <x:c r="D49" s="224"/>
      <x:c r="E49" s="224"/>
      <x:c r="F49" s="224"/>
      <x:c r="G49" s="224"/>
      <x:c r="H49" s="224"/>
      <x:c r="I49" s="226"/>
      <x:c r="J49" s="224"/>
      <x:c r="K49" s="225"/>
      <x:c r="L49" s="224"/>
      <x:c r="M49" s="224"/>
      <x:c r="N49" s="225"/>
      <x:c r="O49" s="227" t="str">
        <x:f>IF(A49="","",IF(OR(L49="未成交",L49="暂停",N49=""),"",IF(N49&lt;'说明与目标'!$B$6,"逾期","正常")))</x:f>
      </x:c>
      <x:c r="P49" s="174"/>
      <x:c r="Q49" s="201"/>
    </x:row>
    <x:row r="50">
      <x:c r="A50" s="224"/>
      <x:c r="B50" s="225"/>
      <x:c r="C50" s="224"/>
      <x:c r="D50" s="224"/>
      <x:c r="E50" s="224"/>
      <x:c r="F50" s="224"/>
      <x:c r="G50" s="224"/>
      <x:c r="H50" s="224"/>
      <x:c r="I50" s="226"/>
      <x:c r="J50" s="224"/>
      <x:c r="K50" s="225"/>
      <x:c r="L50" s="224"/>
      <x:c r="M50" s="224"/>
      <x:c r="N50" s="225"/>
      <x:c r="O50" s="227" t="str">
        <x:f>IF(A50="","",IF(OR(L50="未成交",L50="暂停",N50=""),"",IF(N50&lt;'说明与目标'!$B$6,"逾期","正常")))</x:f>
      </x:c>
      <x:c r="P50" s="174"/>
      <x:c r="Q50" s="201"/>
    </x:row>
    <x:row r="51">
      <x:c r="A51" s="224"/>
      <x:c r="B51" s="225"/>
      <x:c r="C51" s="224"/>
      <x:c r="D51" s="224"/>
      <x:c r="E51" s="224"/>
      <x:c r="F51" s="224"/>
      <x:c r="G51" s="224"/>
      <x:c r="H51" s="224"/>
      <x:c r="I51" s="226"/>
      <x:c r="J51" s="224"/>
      <x:c r="K51" s="225"/>
      <x:c r="L51" s="224"/>
      <x:c r="M51" s="224"/>
      <x:c r="N51" s="225"/>
      <x:c r="O51" s="227" t="str">
        <x:f>IF(A51="","",IF(OR(L51="未成交",L51="暂停",N51=""),"",IF(N51&lt;'说明与目标'!$B$6,"逾期","正常")))</x:f>
      </x:c>
      <x:c r="P51" s="174"/>
      <x:c r="Q51" s="201"/>
    </x:row>
    <x:row r="52">
      <x:c r="A52" s="224"/>
      <x:c r="B52" s="225"/>
      <x:c r="C52" s="224"/>
      <x:c r="D52" s="224"/>
      <x:c r="E52" s="224"/>
      <x:c r="F52" s="224"/>
      <x:c r="G52" s="224"/>
      <x:c r="H52" s="224"/>
      <x:c r="I52" s="226"/>
      <x:c r="J52" s="224"/>
      <x:c r="K52" s="225"/>
      <x:c r="L52" s="224"/>
      <x:c r="M52" s="224"/>
      <x:c r="N52" s="225"/>
      <x:c r="O52" s="227" t="str">
        <x:f>IF(A52="","",IF(OR(L52="未成交",L52="暂停",N52=""),"",IF(N52&lt;'说明与目标'!$B$6,"逾期","正常")))</x:f>
      </x:c>
      <x:c r="P52" s="174"/>
      <x:c r="Q52" s="201"/>
    </x:row>
    <x:row r="53">
      <x:c r="A53" s="224"/>
      <x:c r="B53" s="225"/>
      <x:c r="C53" s="224"/>
      <x:c r="D53" s="224"/>
      <x:c r="E53" s="224"/>
      <x:c r="F53" s="224"/>
      <x:c r="G53" s="224"/>
      <x:c r="H53" s="224"/>
      <x:c r="I53" s="226"/>
      <x:c r="J53" s="224"/>
      <x:c r="K53" s="225"/>
      <x:c r="L53" s="224"/>
      <x:c r="M53" s="224"/>
      <x:c r="N53" s="225"/>
      <x:c r="O53" s="227" t="str">
        <x:f>IF(A53="","",IF(OR(L53="未成交",L53="暂停",N53=""),"",IF(N53&lt;'说明与目标'!$B$6,"逾期","正常")))</x:f>
      </x:c>
      <x:c r="P53" s="174"/>
      <x:c r="Q53" s="201"/>
    </x:row>
    <x:row r="54">
      <x:c r="A54" s="224"/>
      <x:c r="B54" s="225"/>
      <x:c r="C54" s="224"/>
      <x:c r="D54" s="224"/>
      <x:c r="E54" s="224"/>
      <x:c r="F54" s="224"/>
      <x:c r="G54" s="224"/>
      <x:c r="H54" s="224"/>
      <x:c r="I54" s="226"/>
      <x:c r="J54" s="224"/>
      <x:c r="K54" s="225"/>
      <x:c r="L54" s="224"/>
      <x:c r="M54" s="224"/>
      <x:c r="N54" s="225"/>
      <x:c r="O54" s="227" t="str">
        <x:f>IF(A54="","",IF(OR(L54="未成交",L54="暂停",N54=""),"",IF(N54&lt;'说明与目标'!$B$6,"逾期","正常")))</x:f>
      </x:c>
      <x:c r="P54" s="174"/>
      <x:c r="Q54" s="201"/>
    </x:row>
  </x:sheetData>
  <x:mergeCells>
    <x:mergeCell ref="A1:Q1"/>
    <x:mergeCell ref="A2:Q2"/>
  </x:mergeCells>
  <x:conditionalFormatting sqref="O5:O54">
    <x:cfRule type="containsText" dxfId="5" priority="1" operator="containsText" text="逾期"/>
  </x:conditionalFormatting>
  <x:dataValidations count="5">
    <x:dataValidation type="list" sqref="E5:E54">
      <x:formula1>"餐饮,住宿,体验,零售/工艺,美容,医疗（高风险）,协会/商圈,其他"</x:formula1>
    </x:dataValidation>
    <x:dataValidation type="list" sqref="G5:G54">
      <x:formula1>"未确认,已有中文咨询,已有中文客流,平台信息错误/缺失,旺季前准备,新店/新品,其他"</x:formula1>
    </x:dataValidation>
    <x:dataValidation type="list" sqref="H5:H54">
      <x:formula1>"未知,老板/创始人,店长,营销负责人,总部,其他"</x:formula1>
    </x:dataValidation>
    <x:dataValidation type="list" sqref="J5:J54">
      <x:formula1>"未知,无预算,愿意讨论,已给范围,已批准"</x:formula1>
    </x:dataValidation>
    <x:dataValidation type="list" sqref="L5:L54">
      <x:formula1>"新线索,已筛选,有效沟通,诊断,报价,订金到账,未成交,暂停"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6e419339d347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30" hidden="0" customWidth="1"/>
    <x:col min="5" max="5" width="10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3" hidden="0" customWidth="1"/>
    <x:col min="11" max="11" width="14" hidden="0" customWidth="1"/>
    <x:col min="12" max="12" width="14" hidden="0" customWidth="1"/>
    <x:col min="13" max="13" width="18" hidden="0" customWidth="1"/>
    <x:col min="14" max="14" width="12" hidden="0" customWidth="1"/>
    <x:col min="15" max="15" width="12" hidden="0" customWidth="1"/>
    <x:col min="16" max="16" width="16" hidden="0" customWidth="1"/>
    <x:col min="17" max="17" width="16" hidden="0" customWidth="1"/>
    <x:col min="18" max="18" width="14" hidden="0" customWidth="1"/>
    <x:col min="19" max="19" width="14" hidden="0" customWidth="1"/>
    <x:col min="20" max="20" width="34" hidden="0" customWidth="1"/>
    <x:col min="21" max="21" width="16" hidden="0" customWidth="1"/>
    <x:col min="22" max="22" width="28" hidden="0" customWidth="1"/>
  </x:cols>
  <x:sheetData>
    <x:row r="1" ht="34" customHeight="1">
      <x:c r="A1" s="4" t="str">
        <x:v>报价｜报价前先核算成本、工时、订单经济贡献和回款</x:v>
      </x:c>
      <x:c r="B1" s="4" t="str">
        <x:v>报价｜报价前先核算成本、工时、订单经济贡献和回款</x:v>
      </x:c>
      <x:c r="C1" s="4" t="str">
        <x:v>报价｜报价前先核算成本、工时、订单经济贡献和回款</x:v>
      </x:c>
      <x:c r="D1" s="4" t="str">
        <x:v>报价｜报价前先核算成本、工时、订单经济贡献和回款</x:v>
      </x:c>
      <x:c r="E1" s="4" t="str">
        <x:v>报价｜报价前先核算成本、工时、订单经济贡献和回款</x:v>
      </x:c>
      <x:c r="F1" s="4" t="str">
        <x:v>报价｜报价前先核算成本、工时、订单经济贡献和回款</x:v>
      </x:c>
      <x:c r="G1" s="4" t="str">
        <x:v>报价｜报价前先核算成本、工时、订单经济贡献和回款</x:v>
      </x:c>
      <x:c r="H1" s="4" t="str">
        <x:v>报价｜报价前先核算成本、工时、订单经济贡献和回款</x:v>
      </x:c>
      <x:c r="I1" s="4" t="str">
        <x:v>报价｜报价前先核算成本、工时、订单经济贡献和回款</x:v>
      </x:c>
      <x:c r="J1" s="4" t="str">
        <x:v>报价｜报价前先核算成本、工时、订单经济贡献和回款</x:v>
      </x:c>
      <x:c r="K1" s="4" t="str">
        <x:v>报价｜报价前先核算成本、工时、订单经济贡献和回款</x:v>
      </x:c>
      <x:c r="L1" s="4" t="str">
        <x:v>报价｜报价前先核算成本、工时、订单经济贡献和回款</x:v>
      </x:c>
      <x:c r="M1" s="4" t="str">
        <x:v>报价｜报价前先核算成本、工时、订单经济贡献和回款</x:v>
      </x:c>
      <x:c r="N1" s="4" t="str">
        <x:v>报价｜报价前先核算成本、工时、订单经济贡献和回款</x:v>
      </x:c>
      <x:c r="O1" s="4" t="str">
        <x:v>报价｜报价前先核算成本、工时、订单经济贡献和回款</x:v>
      </x:c>
      <x:c r="P1" s="4" t="str">
        <x:v>报价｜报价前先核算成本、工时、订单经济贡献和回款</x:v>
      </x:c>
      <x:c r="Q1" s="4" t="str">
        <x:v>报价｜报价前先核算成本、工时、订单经济贡献和回款</x:v>
      </x:c>
      <x:c r="R1" s="4" t="str">
        <x:v>报价｜报价前先核算成本、工时、订单经济贡献和回款</x:v>
      </x:c>
      <x:c r="S1" s="4" t="str">
        <x:v>报价｜报价前先核算成本、工时、订单经济贡献和回款</x:v>
      </x:c>
      <x:c r="T1" s="4" t="str">
        <x:v>报价｜报价前先核算成本、工时、订单经济贡献和回款</x:v>
      </x:c>
    </x:row>
    <x:row r="2">
      <x:c r="A2" s="223" t="str">
        <x:v>公开同行价格只能提供结构参考。报价必须对应明确交付物、客户输入、修改轮次、非目标和付款节点。</x:v>
      </x:c>
      <x:c r="B2" s="223" t="str">
        <x:v>公开同行价格只能提供结构参考。报价必须对应明确交付物、客户输入、修改轮次、非目标和付款节点。</x:v>
      </x:c>
      <x:c r="C2" s="223" t="str">
        <x:v>公开同行价格只能提供结构参考。报价必须对应明确交付物、客户输入、修改轮次、非目标和付款节点。</x:v>
      </x:c>
      <x:c r="D2" s="223" t="str">
        <x:v>公开同行价格只能提供结构参考。报价必须对应明确交付物、客户输入、修改轮次、非目标和付款节点。</x:v>
      </x:c>
      <x:c r="E2" s="223" t="str">
        <x:v>公开同行价格只能提供结构参考。报价必须对应明确交付物、客户输入、修改轮次、非目标和付款节点。</x:v>
      </x:c>
      <x:c r="F2" s="223" t="str">
        <x:v>公开同行价格只能提供结构参考。报价必须对应明确交付物、客户输入、修改轮次、非目标和付款节点。</x:v>
      </x:c>
      <x:c r="G2" s="223" t="str">
        <x:v>公开同行价格只能提供结构参考。报价必须对应明确交付物、客户输入、修改轮次、非目标和付款节点。</x:v>
      </x:c>
      <x:c r="H2" s="223" t="str">
        <x:v>公开同行价格只能提供结构参考。报价必须对应明确交付物、客户输入、修改轮次、非目标和付款节点。</x:v>
      </x:c>
      <x:c r="I2" s="223" t="str">
        <x:v>公开同行价格只能提供结构参考。报价必须对应明确交付物、客户输入、修改轮次、非目标和付款节点。</x:v>
      </x:c>
      <x:c r="J2" s="223" t="str">
        <x:v>公开同行价格只能提供结构参考。报价必须对应明确交付物、客户输入、修改轮次、非目标和付款节点。</x:v>
      </x:c>
      <x:c r="K2" s="223" t="str">
        <x:v>公开同行价格只能提供结构参考。报价必须对应明确交付物、客户输入、修改轮次、非目标和付款节点。</x:v>
      </x:c>
      <x:c r="L2" s="223" t="str">
        <x:v>公开同行价格只能提供结构参考。报价必须对应明确交付物、客户输入、修改轮次、非目标和付款节点。</x:v>
      </x:c>
      <x:c r="M2" s="223" t="str">
        <x:v>公开同行价格只能提供结构参考。报价必须对应明确交付物、客户输入、修改轮次、非目标和付款节点。</x:v>
      </x:c>
      <x:c r="N2" s="223" t="str">
        <x:v>公开同行价格只能提供结构参考。报价必须对应明确交付物、客户输入、修改轮次、非目标和付款节点。</x:v>
      </x:c>
      <x:c r="O2" s="223" t="str">
        <x:v>公开同行价格只能提供结构参考。报价必须对应明确交付物、客户输入、修改轮次、非目标和付款节点。</x:v>
      </x:c>
      <x:c r="P2" s="223" t="str">
        <x:v>公开同行价格只能提供结构参考。报价必须对应明确交付物、客户输入、修改轮次、非目标和付款节点。</x:v>
      </x:c>
      <x:c r="Q2" s="223" t="str">
        <x:v>公开同行价格只能提供结构参考。报价必须对应明确交付物、客户输入、修改轮次、非目标和付款节点。</x:v>
      </x:c>
      <x:c r="R2" s="223" t="str">
        <x:v>公开同行价格只能提供结构参考。报价必须对应明确交付物、客户输入、修改轮次、非目标和付款节点。</x:v>
      </x:c>
      <x:c r="S2" s="223" t="str">
        <x:v>公开同行价格只能提供结构参考。报价必须对应明确交付物、客户输入、修改轮次、非目标和付款节点。</x:v>
      </x:c>
      <x:c r="T2" s="223" t="str">
        <x:v>公开同行价格只能提供结构参考。报价必须对应明确交付物、客户输入、修改轮次、非目标和付款节点。</x:v>
      </x:c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  <x:c r="M3" s="174"/>
      <x:c r="N3" s="174"/>
      <x:c r="O3" s="174"/>
      <x:c r="P3" s="174"/>
      <x:c r="Q3" s="174"/>
      <x:c r="R3" s="174"/>
      <x:c r="S3" s="174"/>
      <x:c r="T3" s="174"/>
    </x:row>
    <x:row r="4" ht="30" customHeight="1">
      <x:c r="A4" s="77" t="str">
        <x:v>报价ID</x:v>
      </x:c>
      <x:c r="B4" s="78" t="str">
        <x:v>线索ID</x:v>
      </x:c>
      <x:c r="C4" s="78" t="str">
        <x:v>报价日期</x:v>
      </x:c>
      <x:c r="D4" s="78" t="str">
        <x:v>服务/范围</x:v>
      </x:c>
      <x:c r="E4" s="78" t="str">
        <x:v>币种</x:v>
      </x:c>
      <x:c r="F4" s="78" t="str">
        <x:v>净服务金额（原币）</x:v>
      </x:c>
      <x:c r="G4" s="78" t="str">
        <x:v>换算率→CNY</x:v>
      </x:c>
      <x:c r="H4" s="78" t="str">
        <x:v>净服务收入CNY</x:v>
      </x:c>
      <x:c r="I4" s="78" t="str">
        <x:v>预计直接/支付成本</x:v>
      </x:c>
      <x:c r="J4" s="78" t="str">
        <x:v>预计工时</x:v>
      </x:c>
      <x:c r="K4" s="78" t="str">
        <x:v>小时成本</x:v>
      </x:c>
      <x:c r="L4" s="78" t="str">
        <x:v>获客成本</x:v>
      </x:c>
      <x:c r="M4" s="78" t="str">
        <x:v>预计订单经济贡献</x:v>
      </x:c>
      <x:c r="N4" s="78" t="str">
        <x:v>经济贡献率</x:v>
      </x:c>
      <x:c r="O4" s="78" t="str">
        <x:v>订金比例</x:v>
      </x:c>
      <x:c r="P4" s="78" t="str">
        <x:v>订金CNY</x:v>
      </x:c>
      <x:c r="Q4" s="78" t="str">
        <x:v>订金到账日</x:v>
      </x:c>
      <x:c r="R4" s="78" t="str">
        <x:v>有效期至</x:v>
      </x:c>
      <x:c r="S4" s="78" t="str">
        <x:v>状态</x:v>
      </x:c>
      <x:c r="T4" s="79" t="str">
        <x:v>备注</x:v>
      </x:c>
      <x:c r="U4" s="254" t="str">
        <x:v>服务编号</x:v>
      </x:c>
      <x:c r="V4" s="254" t="str">
        <x:v>服务资格检查</x:v>
      </x:c>
    </x:row>
    <x:row r="5">
      <x:c r="A5" s="224"/>
      <x:c r="B5" s="224"/>
      <x:c r="C5" s="225"/>
      <x:c r="D5" s="226"/>
      <x:c r="E5" s="224"/>
      <x:c r="F5" s="228"/>
      <x:c r="G5" s="229" t="str">
        <x:f>IF(A5="","",IF(E5="CNY",1,IF(E5="JPY",'说明与目标'!$B$10,"")))</x:f>
      </x:c>
      <x:c r="H5" s="229" t="str">
        <x:f>IF(A5="","",F5*G5)</x:f>
      </x:c>
      <x:c r="I5" s="228"/>
      <x:c r="J5" s="224"/>
      <x:c r="K5" s="228"/>
      <x:c r="L5" s="228"/>
      <x:c r="M5" s="230" t="str">
        <x:f>IF(A5="","",H5-I5-J5*K5-L5)</x:f>
      </x:c>
      <x:c r="N5" s="231" t="str">
        <x:f>IFERROR(M5/H5,"")</x:f>
      </x:c>
      <x:c r="O5" s="232"/>
      <x:c r="P5" s="230" t="str">
        <x:f>IF(A5="","",H5*O5)</x:f>
      </x:c>
      <x:c r="Q5" s="225"/>
      <x:c r="R5" s="225"/>
      <x:c r="S5" s="224"/>
      <x:c r="T5" s="226"/>
      <x:c r="U5" s="83"/>
      <x:c r="V5" s="83" t="str">
        <x:f>IF(A5="","",IF(U5="","阻断：缺服务编号",IF(OR(I5="",J5="",K5="",L5="",O5=""),"阻断：成本/工时/订金未填",IF(P5&lt;I5+L5,"阻断：订金不足以覆盖全部现金成本",IF(N5&lt;0.5,"阻断：经济贡献率低于50%",IF(IFERROR((H5-I5-L5)/H5,0)&lt;IFERROR(XLOOKUP(U5,'服务测试'!$A$5:$A$13,'服务测试'!$J$5:$J$13),1),"阻断：现金贡献率低于服务目标",IFERROR(IF(AND(OR(XLOOKUP(U5,'服务测试'!$A$5:$A$13,'服务测试'!$D$5:$D$13)="付费测试已批准",XLOOKUP(U5,'服务测试'!$A$5:$A$13,'服务测试'!$D$5:$D$13)="已验证"),XLOOKUP(U5,'服务测试'!$A$5:$A$13,'服务测试'!$S$5:$S$13)="已批准",XLOOKUP(U5,'服务测试'!$A$5:$A$13,'服务测试'!$T$5:$T$13)&lt;&gt;"",XLOOKUP(U5,'服务测试'!$A$5:$A$13,'服务测试'!$U$5:$U$13)&lt;&gt;"未知"),"可报价","阻断：服务硬门或成本未过"),"阻断：服务编号不存在")))))))</x:f>
      </x:c>
    </x:row>
    <x:row r="6">
      <x:c r="A6" s="224"/>
      <x:c r="B6" s="224"/>
      <x:c r="C6" s="225"/>
      <x:c r="D6" s="226"/>
      <x:c r="E6" s="224"/>
      <x:c r="F6" s="228"/>
      <x:c r="G6" s="229" t="str">
        <x:f>IF(A6="","",IF(E6="CNY",1,IF(E6="JPY",'说明与目标'!$B$10,"")))</x:f>
      </x:c>
      <x:c r="H6" s="229" t="str">
        <x:f>IF(A6="","",F6*G6)</x:f>
      </x:c>
      <x:c r="I6" s="228"/>
      <x:c r="J6" s="224"/>
      <x:c r="K6" s="228"/>
      <x:c r="L6" s="228"/>
      <x:c r="M6" s="230" t="str">
        <x:f>IF(A6="","",H6-I6-J6*K6-L6)</x:f>
      </x:c>
      <x:c r="N6" s="231" t="str">
        <x:f>IFERROR(M6/H6,"")</x:f>
      </x:c>
      <x:c r="O6" s="232"/>
      <x:c r="P6" s="230" t="str">
        <x:f>IF(A6="","",H6*O6)</x:f>
      </x:c>
      <x:c r="Q6" s="225"/>
      <x:c r="R6" s="225"/>
      <x:c r="S6" s="224"/>
      <x:c r="T6" s="226"/>
      <x:c r="U6" s="83"/>
      <x:c r="V6" s="83" t="str">
        <x:f>IF(A6="","",IF(U6="","阻断：缺服务编号",IF(OR(I6="",J6="",K6="",L6="",O6=""),"阻断：成本/工时/订金未填",IF(P6&lt;I6+L6,"阻断：订金不足以覆盖全部现金成本",IF(N6&lt;0.5,"阻断：经济贡献率低于50%",IF(IFERROR((H6-I6-L6)/H6,0)&lt;IFERROR(XLOOKUP(U6,'服务测试'!$A$5:$A$13,'服务测试'!$J$5:$J$13),1),"阻断：现金贡献率低于服务目标",IFERROR(IF(AND(OR(XLOOKUP(U6,'服务测试'!$A$5:$A$13,'服务测试'!$D$5:$D$13)="付费测试已批准",XLOOKUP(U6,'服务测试'!$A$5:$A$13,'服务测试'!$D$5:$D$13)="已验证"),XLOOKUP(U6,'服务测试'!$A$5:$A$13,'服务测试'!$S$5:$S$13)="已批准",XLOOKUP(U6,'服务测试'!$A$5:$A$13,'服务测试'!$T$5:$T$13)&lt;&gt;"",XLOOKUP(U6,'服务测试'!$A$5:$A$13,'服务测试'!$U$5:$U$13)&lt;&gt;"未知"),"可报价","阻断：服务硬门或成本未过"),"阻断：服务编号不存在")))))))</x:f>
      </x:c>
    </x:row>
    <x:row r="7">
      <x:c r="A7" s="224"/>
      <x:c r="B7" s="224"/>
      <x:c r="C7" s="225"/>
      <x:c r="D7" s="226"/>
      <x:c r="E7" s="224"/>
      <x:c r="F7" s="228"/>
      <x:c r="G7" s="229" t="str">
        <x:f>IF(A7="","",IF(E7="CNY",1,IF(E7="JPY",'说明与目标'!$B$10,"")))</x:f>
      </x:c>
      <x:c r="H7" s="229" t="str">
        <x:f>IF(A7="","",F7*G7)</x:f>
      </x:c>
      <x:c r="I7" s="228"/>
      <x:c r="J7" s="224"/>
      <x:c r="K7" s="228"/>
      <x:c r="L7" s="228"/>
      <x:c r="M7" s="230" t="str">
        <x:f>IF(A7="","",H7-I7-J7*K7-L7)</x:f>
      </x:c>
      <x:c r="N7" s="231" t="str">
        <x:f>IFERROR(M7/H7,"")</x:f>
      </x:c>
      <x:c r="O7" s="232"/>
      <x:c r="P7" s="230" t="str">
        <x:f>IF(A7="","",H7*O7)</x:f>
      </x:c>
      <x:c r="Q7" s="225"/>
      <x:c r="R7" s="225"/>
      <x:c r="S7" s="224"/>
      <x:c r="T7" s="226"/>
      <x:c r="U7" s="83"/>
      <x:c r="V7" s="83" t="str">
        <x:f>IF(A7="","",IF(U7="","阻断：缺服务编号",IF(OR(I7="",J7="",K7="",L7="",O7=""),"阻断：成本/工时/订金未填",IF(P7&lt;I7+L7,"阻断：订金不足以覆盖全部现金成本",IF(N7&lt;0.5,"阻断：经济贡献率低于50%",IF(IFERROR((H7-I7-L7)/H7,0)&lt;IFERROR(XLOOKUP(U7,'服务测试'!$A$5:$A$13,'服务测试'!$J$5:$J$13),1),"阻断：现金贡献率低于服务目标",IFERROR(IF(AND(OR(XLOOKUP(U7,'服务测试'!$A$5:$A$13,'服务测试'!$D$5:$D$13)="付费测试已批准",XLOOKUP(U7,'服务测试'!$A$5:$A$13,'服务测试'!$D$5:$D$13)="已验证"),XLOOKUP(U7,'服务测试'!$A$5:$A$13,'服务测试'!$S$5:$S$13)="已批准",XLOOKUP(U7,'服务测试'!$A$5:$A$13,'服务测试'!$T$5:$T$13)&lt;&gt;"",XLOOKUP(U7,'服务测试'!$A$5:$A$13,'服务测试'!$U$5:$U$13)&lt;&gt;"未知"),"可报价","阻断：服务硬门或成本未过"),"阻断：服务编号不存在")))))))</x:f>
      </x:c>
    </x:row>
    <x:row r="8">
      <x:c r="A8" s="224"/>
      <x:c r="B8" s="224"/>
      <x:c r="C8" s="225"/>
      <x:c r="D8" s="226"/>
      <x:c r="E8" s="224"/>
      <x:c r="F8" s="228"/>
      <x:c r="G8" s="229" t="str">
        <x:f>IF(A8="","",IF(E8="CNY",1,IF(E8="JPY",'说明与目标'!$B$10,"")))</x:f>
      </x:c>
      <x:c r="H8" s="229" t="str">
        <x:f>IF(A8="","",F8*G8)</x:f>
      </x:c>
      <x:c r="I8" s="228"/>
      <x:c r="J8" s="224"/>
      <x:c r="K8" s="228"/>
      <x:c r="L8" s="228"/>
      <x:c r="M8" s="230" t="str">
        <x:f>IF(A8="","",H8-I8-J8*K8-L8)</x:f>
      </x:c>
      <x:c r="N8" s="231" t="str">
        <x:f>IFERROR(M8/H8,"")</x:f>
      </x:c>
      <x:c r="O8" s="232"/>
      <x:c r="P8" s="230" t="str">
        <x:f>IF(A8="","",H8*O8)</x:f>
      </x:c>
      <x:c r="Q8" s="225"/>
      <x:c r="R8" s="225"/>
      <x:c r="S8" s="224"/>
      <x:c r="T8" s="226"/>
      <x:c r="U8" s="83"/>
      <x:c r="V8" s="83" t="str">
        <x:f>IF(A8="","",IF(U8="","阻断：缺服务编号",IF(OR(I8="",J8="",K8="",L8="",O8=""),"阻断：成本/工时/订金未填",IF(P8&lt;I8+L8,"阻断：订金不足以覆盖全部现金成本",IF(N8&lt;0.5,"阻断：经济贡献率低于50%",IF(IFERROR((H8-I8-L8)/H8,0)&lt;IFERROR(XLOOKUP(U8,'服务测试'!$A$5:$A$13,'服务测试'!$J$5:$J$13),1),"阻断：现金贡献率低于服务目标",IFERROR(IF(AND(OR(XLOOKUP(U8,'服务测试'!$A$5:$A$13,'服务测试'!$D$5:$D$13)="付费测试已批准",XLOOKUP(U8,'服务测试'!$A$5:$A$13,'服务测试'!$D$5:$D$13)="已验证"),XLOOKUP(U8,'服务测试'!$A$5:$A$13,'服务测试'!$S$5:$S$13)="已批准",XLOOKUP(U8,'服务测试'!$A$5:$A$13,'服务测试'!$T$5:$T$13)&lt;&gt;"",XLOOKUP(U8,'服务测试'!$A$5:$A$13,'服务测试'!$U$5:$U$13)&lt;&gt;"未知"),"可报价","阻断：服务硬门或成本未过"),"阻断：服务编号不存在")))))))</x:f>
      </x:c>
    </x:row>
    <x:row r="9">
      <x:c r="A9" s="224"/>
      <x:c r="B9" s="224"/>
      <x:c r="C9" s="225"/>
      <x:c r="D9" s="226"/>
      <x:c r="E9" s="224"/>
      <x:c r="F9" s="228"/>
      <x:c r="G9" s="229" t="str">
        <x:f>IF(A9="","",IF(E9="CNY",1,IF(E9="JPY",'说明与目标'!$B$10,"")))</x:f>
      </x:c>
      <x:c r="H9" s="229" t="str">
        <x:f>IF(A9="","",F9*G9)</x:f>
      </x:c>
      <x:c r="I9" s="228"/>
      <x:c r="J9" s="224"/>
      <x:c r="K9" s="228"/>
      <x:c r="L9" s="228"/>
      <x:c r="M9" s="230" t="str">
        <x:f>IF(A9="","",H9-I9-J9*K9-L9)</x:f>
      </x:c>
      <x:c r="N9" s="231" t="str">
        <x:f>IFERROR(M9/H9,"")</x:f>
      </x:c>
      <x:c r="O9" s="232"/>
      <x:c r="P9" s="230" t="str">
        <x:f>IF(A9="","",H9*O9)</x:f>
      </x:c>
      <x:c r="Q9" s="225"/>
      <x:c r="R9" s="225"/>
      <x:c r="S9" s="224"/>
      <x:c r="T9" s="226"/>
      <x:c r="U9" s="83"/>
      <x:c r="V9" s="83" t="str">
        <x:f>IF(A9="","",IF(U9="","阻断：缺服务编号",IF(OR(I9="",J9="",K9="",L9="",O9=""),"阻断：成本/工时/订金未填",IF(P9&lt;I9+L9,"阻断：订金不足以覆盖全部现金成本",IF(N9&lt;0.5,"阻断：经济贡献率低于50%",IF(IFERROR((H9-I9-L9)/H9,0)&lt;IFERROR(XLOOKUP(U9,'服务测试'!$A$5:$A$13,'服务测试'!$J$5:$J$13),1),"阻断：现金贡献率低于服务目标",IFERROR(IF(AND(OR(XLOOKUP(U9,'服务测试'!$A$5:$A$13,'服务测试'!$D$5:$D$13)="付费测试已批准",XLOOKUP(U9,'服务测试'!$A$5:$A$13,'服务测试'!$D$5:$D$13)="已验证"),XLOOKUP(U9,'服务测试'!$A$5:$A$13,'服务测试'!$S$5:$S$13)="已批准",XLOOKUP(U9,'服务测试'!$A$5:$A$13,'服务测试'!$T$5:$T$13)&lt;&gt;"",XLOOKUP(U9,'服务测试'!$A$5:$A$13,'服务测试'!$U$5:$U$13)&lt;&gt;"未知"),"可报价","阻断：服务硬门或成本未过"),"阻断：服务编号不存在")))))))</x:f>
      </x:c>
    </x:row>
    <x:row r="10">
      <x:c r="A10" s="224"/>
      <x:c r="B10" s="224"/>
      <x:c r="C10" s="225"/>
      <x:c r="D10" s="226"/>
      <x:c r="E10" s="224"/>
      <x:c r="F10" s="228"/>
      <x:c r="G10" s="229" t="str">
        <x:f>IF(A10="","",IF(E10="CNY",1,IF(E10="JPY",'说明与目标'!$B$10,"")))</x:f>
      </x:c>
      <x:c r="H10" s="229" t="str">
        <x:f>IF(A10="","",F10*G10)</x:f>
      </x:c>
      <x:c r="I10" s="228"/>
      <x:c r="J10" s="224"/>
      <x:c r="K10" s="228"/>
      <x:c r="L10" s="228"/>
      <x:c r="M10" s="230" t="str">
        <x:f>IF(A10="","",H10-I10-J10*K10-L10)</x:f>
      </x:c>
      <x:c r="N10" s="231" t="str">
        <x:f>IFERROR(M10/H10,"")</x:f>
      </x:c>
      <x:c r="O10" s="232"/>
      <x:c r="P10" s="230" t="str">
        <x:f>IF(A10="","",H10*O10)</x:f>
      </x:c>
      <x:c r="Q10" s="225"/>
      <x:c r="R10" s="225"/>
      <x:c r="S10" s="224"/>
      <x:c r="T10" s="226"/>
      <x:c r="U10" s="83"/>
      <x:c r="V10" s="83" t="str">
        <x:f>IF(A10="","",IF(U10="","阻断：缺服务编号",IF(OR(I10="",J10="",K10="",L10="",O10=""),"阻断：成本/工时/订金未填",IF(P10&lt;I10+L10,"阻断：订金不足以覆盖全部现金成本",IF(N10&lt;0.5,"阻断：经济贡献率低于50%",IF(IFERROR((H10-I10-L10)/H10,0)&lt;IFERROR(XLOOKUP(U10,'服务测试'!$A$5:$A$13,'服务测试'!$J$5:$J$13),1),"阻断：现金贡献率低于服务目标",IFERROR(IF(AND(OR(XLOOKUP(U10,'服务测试'!$A$5:$A$13,'服务测试'!$D$5:$D$13)="付费测试已批准",XLOOKUP(U10,'服务测试'!$A$5:$A$13,'服务测试'!$D$5:$D$13)="已验证"),XLOOKUP(U10,'服务测试'!$A$5:$A$13,'服务测试'!$S$5:$S$13)="已批准",XLOOKUP(U10,'服务测试'!$A$5:$A$13,'服务测试'!$T$5:$T$13)&lt;&gt;"",XLOOKUP(U10,'服务测试'!$A$5:$A$13,'服务测试'!$U$5:$U$13)&lt;&gt;"未知"),"可报价","阻断：服务硬门或成本未过"),"阻断：服务编号不存在")))))))</x:f>
      </x:c>
    </x:row>
    <x:row r="11">
      <x:c r="A11" s="224"/>
      <x:c r="B11" s="224"/>
      <x:c r="C11" s="225"/>
      <x:c r="D11" s="226"/>
      <x:c r="E11" s="224"/>
      <x:c r="F11" s="228"/>
      <x:c r="G11" s="229" t="str">
        <x:f>IF(A11="","",IF(E11="CNY",1,IF(E11="JPY",'说明与目标'!$B$10,"")))</x:f>
      </x:c>
      <x:c r="H11" s="229" t="str">
        <x:f>IF(A11="","",F11*G11)</x:f>
      </x:c>
      <x:c r="I11" s="228"/>
      <x:c r="J11" s="224"/>
      <x:c r="K11" s="228"/>
      <x:c r="L11" s="228"/>
      <x:c r="M11" s="230" t="str">
        <x:f>IF(A11="","",H11-I11-J11*K11-L11)</x:f>
      </x:c>
      <x:c r="N11" s="231" t="str">
        <x:f>IFERROR(M11/H11,"")</x:f>
      </x:c>
      <x:c r="O11" s="232"/>
      <x:c r="P11" s="230" t="str">
        <x:f>IF(A11="","",H11*O11)</x:f>
      </x:c>
      <x:c r="Q11" s="225"/>
      <x:c r="R11" s="225"/>
      <x:c r="S11" s="224"/>
      <x:c r="T11" s="226"/>
      <x:c r="U11" s="83"/>
      <x:c r="V11" s="83" t="str">
        <x:f>IF(A11="","",IF(U11="","阻断：缺服务编号",IF(OR(I11="",J11="",K11="",L11="",O11=""),"阻断：成本/工时/订金未填",IF(P11&lt;I11+L11,"阻断：订金不足以覆盖全部现金成本",IF(N11&lt;0.5,"阻断：经济贡献率低于50%",IF(IFERROR((H11-I11-L11)/H11,0)&lt;IFERROR(XLOOKUP(U11,'服务测试'!$A$5:$A$13,'服务测试'!$J$5:$J$13),1),"阻断：现金贡献率低于服务目标",IFERROR(IF(AND(OR(XLOOKUP(U11,'服务测试'!$A$5:$A$13,'服务测试'!$D$5:$D$13)="付费测试已批准",XLOOKUP(U11,'服务测试'!$A$5:$A$13,'服务测试'!$D$5:$D$13)="已验证"),XLOOKUP(U11,'服务测试'!$A$5:$A$13,'服务测试'!$S$5:$S$13)="已批准",XLOOKUP(U11,'服务测试'!$A$5:$A$13,'服务测试'!$T$5:$T$13)&lt;&gt;"",XLOOKUP(U11,'服务测试'!$A$5:$A$13,'服务测试'!$U$5:$U$13)&lt;&gt;"未知"),"可报价","阻断：服务硬门或成本未过"),"阻断：服务编号不存在")))))))</x:f>
      </x:c>
    </x:row>
    <x:row r="12">
      <x:c r="A12" s="224"/>
      <x:c r="B12" s="224"/>
      <x:c r="C12" s="225"/>
      <x:c r="D12" s="226"/>
      <x:c r="E12" s="224"/>
      <x:c r="F12" s="228"/>
      <x:c r="G12" s="229" t="str">
        <x:f>IF(A12="","",IF(E12="CNY",1,IF(E12="JPY",'说明与目标'!$B$10,"")))</x:f>
      </x:c>
      <x:c r="H12" s="229" t="str">
        <x:f>IF(A12="","",F12*G12)</x:f>
      </x:c>
      <x:c r="I12" s="228"/>
      <x:c r="J12" s="224"/>
      <x:c r="K12" s="228"/>
      <x:c r="L12" s="228"/>
      <x:c r="M12" s="230" t="str">
        <x:f>IF(A12="","",H12-I12-J12*K12-L12)</x:f>
      </x:c>
      <x:c r="N12" s="231" t="str">
        <x:f>IFERROR(M12/H12,"")</x:f>
      </x:c>
      <x:c r="O12" s="232"/>
      <x:c r="P12" s="230" t="str">
        <x:f>IF(A12="","",H12*O12)</x:f>
      </x:c>
      <x:c r="Q12" s="225"/>
      <x:c r="R12" s="225"/>
      <x:c r="S12" s="224"/>
      <x:c r="T12" s="226"/>
      <x:c r="U12" s="83"/>
      <x:c r="V12" s="83" t="str">
        <x:f>IF(A12="","",IF(U12="","阻断：缺服务编号",IF(OR(I12="",J12="",K12="",L12="",O12=""),"阻断：成本/工时/订金未填",IF(P12&lt;I12+L12,"阻断：订金不足以覆盖全部现金成本",IF(N12&lt;0.5,"阻断：经济贡献率低于50%",IF(IFERROR((H12-I12-L12)/H12,0)&lt;IFERROR(XLOOKUP(U12,'服务测试'!$A$5:$A$13,'服务测试'!$J$5:$J$13),1),"阻断：现金贡献率低于服务目标",IFERROR(IF(AND(OR(XLOOKUP(U12,'服务测试'!$A$5:$A$13,'服务测试'!$D$5:$D$13)="付费测试已批准",XLOOKUP(U12,'服务测试'!$A$5:$A$13,'服务测试'!$D$5:$D$13)="已验证"),XLOOKUP(U12,'服务测试'!$A$5:$A$13,'服务测试'!$S$5:$S$13)="已批准",XLOOKUP(U12,'服务测试'!$A$5:$A$13,'服务测试'!$T$5:$T$13)&lt;&gt;"",XLOOKUP(U12,'服务测试'!$A$5:$A$13,'服务测试'!$U$5:$U$13)&lt;&gt;"未知"),"可报价","阻断：服务硬门或成本未过"),"阻断：服务编号不存在")))))))</x:f>
      </x:c>
    </x:row>
    <x:row r="13">
      <x:c r="A13" s="224"/>
      <x:c r="B13" s="224"/>
      <x:c r="C13" s="225"/>
      <x:c r="D13" s="226"/>
      <x:c r="E13" s="224"/>
      <x:c r="F13" s="228"/>
      <x:c r="G13" s="229" t="str">
        <x:f>IF(A13="","",IF(E13="CNY",1,IF(E13="JPY",'说明与目标'!$B$10,"")))</x:f>
      </x:c>
      <x:c r="H13" s="229" t="str">
        <x:f>IF(A13="","",F13*G13)</x:f>
      </x:c>
      <x:c r="I13" s="228"/>
      <x:c r="J13" s="224"/>
      <x:c r="K13" s="228"/>
      <x:c r="L13" s="228"/>
      <x:c r="M13" s="230" t="str">
        <x:f>IF(A13="","",H13-I13-J13*K13-L13)</x:f>
      </x:c>
      <x:c r="N13" s="231" t="str">
        <x:f>IFERROR(M13/H13,"")</x:f>
      </x:c>
      <x:c r="O13" s="232"/>
      <x:c r="P13" s="230" t="str">
        <x:f>IF(A13="","",H13*O13)</x:f>
      </x:c>
      <x:c r="Q13" s="225"/>
      <x:c r="R13" s="225"/>
      <x:c r="S13" s="224"/>
      <x:c r="T13" s="226"/>
      <x:c r="U13" s="83"/>
      <x:c r="V13" s="83" t="str">
        <x:f>IF(A13="","",IF(U13="","阻断：缺服务编号",IF(OR(I13="",J13="",K13="",L13="",O13=""),"阻断：成本/工时/订金未填",IF(P13&lt;I13+L13,"阻断：订金不足以覆盖全部现金成本",IF(N13&lt;0.5,"阻断：经济贡献率低于50%",IF(IFERROR((H13-I13-L13)/H13,0)&lt;IFERROR(XLOOKUP(U13,'服务测试'!$A$5:$A$13,'服务测试'!$J$5:$J$13),1),"阻断：现金贡献率低于服务目标",IFERROR(IF(AND(OR(XLOOKUP(U13,'服务测试'!$A$5:$A$13,'服务测试'!$D$5:$D$13)="付费测试已批准",XLOOKUP(U13,'服务测试'!$A$5:$A$13,'服务测试'!$D$5:$D$13)="已验证"),XLOOKUP(U13,'服务测试'!$A$5:$A$13,'服务测试'!$S$5:$S$13)="已批准",XLOOKUP(U13,'服务测试'!$A$5:$A$13,'服务测试'!$T$5:$T$13)&lt;&gt;"",XLOOKUP(U13,'服务测试'!$A$5:$A$13,'服务测试'!$U$5:$U$13)&lt;&gt;"未知"),"可报价","阻断：服务硬门或成本未过"),"阻断：服务编号不存在")))))))</x:f>
      </x:c>
    </x:row>
    <x:row r="14">
      <x:c r="A14" s="224"/>
      <x:c r="B14" s="224"/>
      <x:c r="C14" s="225"/>
      <x:c r="D14" s="226"/>
      <x:c r="E14" s="224"/>
      <x:c r="F14" s="228"/>
      <x:c r="G14" s="229" t="str">
        <x:f>IF(A14="","",IF(E14="CNY",1,IF(E14="JPY",'说明与目标'!$B$10,"")))</x:f>
      </x:c>
      <x:c r="H14" s="229" t="str">
        <x:f>IF(A14="","",F14*G14)</x:f>
      </x:c>
      <x:c r="I14" s="228"/>
      <x:c r="J14" s="224"/>
      <x:c r="K14" s="228"/>
      <x:c r="L14" s="228"/>
      <x:c r="M14" s="230" t="str">
        <x:f>IF(A14="","",H14-I14-J14*K14-L14)</x:f>
      </x:c>
      <x:c r="N14" s="231" t="str">
        <x:f>IFERROR(M14/H14,"")</x:f>
      </x:c>
      <x:c r="O14" s="232"/>
      <x:c r="P14" s="230" t="str">
        <x:f>IF(A14="","",H14*O14)</x:f>
      </x:c>
      <x:c r="Q14" s="225"/>
      <x:c r="R14" s="225"/>
      <x:c r="S14" s="224"/>
      <x:c r="T14" s="226"/>
      <x:c r="U14" s="83"/>
      <x:c r="V14" s="83" t="str">
        <x:f>IF(A14="","",IF(U14="","阻断：缺服务编号",IF(OR(I14="",J14="",K14="",L14="",O14=""),"阻断：成本/工时/订金未填",IF(P14&lt;I14+L14,"阻断：订金不足以覆盖全部现金成本",IF(N14&lt;0.5,"阻断：经济贡献率低于50%",IF(IFERROR((H14-I14-L14)/H14,0)&lt;IFERROR(XLOOKUP(U14,'服务测试'!$A$5:$A$13,'服务测试'!$J$5:$J$13),1),"阻断：现金贡献率低于服务目标",IFERROR(IF(AND(OR(XLOOKUP(U14,'服务测试'!$A$5:$A$13,'服务测试'!$D$5:$D$13)="付费测试已批准",XLOOKUP(U14,'服务测试'!$A$5:$A$13,'服务测试'!$D$5:$D$13)="已验证"),XLOOKUP(U14,'服务测试'!$A$5:$A$13,'服务测试'!$S$5:$S$13)="已批准",XLOOKUP(U14,'服务测试'!$A$5:$A$13,'服务测试'!$T$5:$T$13)&lt;&gt;"",XLOOKUP(U14,'服务测试'!$A$5:$A$13,'服务测试'!$U$5:$U$13)&lt;&gt;"未知"),"可报价","阻断：服务硬门或成本未过"),"阻断：服务编号不存在")))))))</x:f>
      </x:c>
    </x:row>
    <x:row r="15">
      <x:c r="A15" s="224"/>
      <x:c r="B15" s="224"/>
      <x:c r="C15" s="225"/>
      <x:c r="D15" s="226"/>
      <x:c r="E15" s="224"/>
      <x:c r="F15" s="228"/>
      <x:c r="G15" s="229" t="str">
        <x:f>IF(A15="","",IF(E15="CNY",1,IF(E15="JPY",'说明与目标'!$B$10,"")))</x:f>
      </x:c>
      <x:c r="H15" s="229" t="str">
        <x:f>IF(A15="","",F15*G15)</x:f>
      </x:c>
      <x:c r="I15" s="228"/>
      <x:c r="J15" s="224"/>
      <x:c r="K15" s="228"/>
      <x:c r="L15" s="228"/>
      <x:c r="M15" s="230" t="str">
        <x:f>IF(A15="","",H15-I15-J15*K15-L15)</x:f>
      </x:c>
      <x:c r="N15" s="231" t="str">
        <x:f>IFERROR(M15/H15,"")</x:f>
      </x:c>
      <x:c r="O15" s="232"/>
      <x:c r="P15" s="230" t="str">
        <x:f>IF(A15="","",H15*O15)</x:f>
      </x:c>
      <x:c r="Q15" s="225"/>
      <x:c r="R15" s="225"/>
      <x:c r="S15" s="224"/>
      <x:c r="T15" s="226"/>
      <x:c r="U15" s="83"/>
      <x:c r="V15" s="83" t="str">
        <x:f>IF(A15="","",IF(U15="","阻断：缺服务编号",IF(OR(I15="",J15="",K15="",L15="",O15=""),"阻断：成本/工时/订金未填",IF(P15&lt;I15+L15,"阻断：订金不足以覆盖全部现金成本",IF(N15&lt;0.5,"阻断：经济贡献率低于50%",IF(IFERROR((H15-I15-L15)/H15,0)&lt;IFERROR(XLOOKUP(U15,'服务测试'!$A$5:$A$13,'服务测试'!$J$5:$J$13),1),"阻断：现金贡献率低于服务目标",IFERROR(IF(AND(OR(XLOOKUP(U15,'服务测试'!$A$5:$A$13,'服务测试'!$D$5:$D$13)="付费测试已批准",XLOOKUP(U15,'服务测试'!$A$5:$A$13,'服务测试'!$D$5:$D$13)="已验证"),XLOOKUP(U15,'服务测试'!$A$5:$A$13,'服务测试'!$S$5:$S$13)="已批准",XLOOKUP(U15,'服务测试'!$A$5:$A$13,'服务测试'!$T$5:$T$13)&lt;&gt;"",XLOOKUP(U15,'服务测试'!$A$5:$A$13,'服务测试'!$U$5:$U$13)&lt;&gt;"未知"),"可报价","阻断：服务硬门或成本未过"),"阻断：服务编号不存在")))))))</x:f>
      </x:c>
    </x:row>
    <x:row r="16">
      <x:c r="A16" s="224"/>
      <x:c r="B16" s="224"/>
      <x:c r="C16" s="225"/>
      <x:c r="D16" s="226"/>
      <x:c r="E16" s="224"/>
      <x:c r="F16" s="228"/>
      <x:c r="G16" s="229" t="str">
        <x:f>IF(A16="","",IF(E16="CNY",1,IF(E16="JPY",'说明与目标'!$B$10,"")))</x:f>
      </x:c>
      <x:c r="H16" s="229" t="str">
        <x:f>IF(A16="","",F16*G16)</x:f>
      </x:c>
      <x:c r="I16" s="228"/>
      <x:c r="J16" s="224"/>
      <x:c r="K16" s="228"/>
      <x:c r="L16" s="228"/>
      <x:c r="M16" s="230" t="str">
        <x:f>IF(A16="","",H16-I16-J16*K16-L16)</x:f>
      </x:c>
      <x:c r="N16" s="231" t="str">
        <x:f>IFERROR(M16/H16,"")</x:f>
      </x:c>
      <x:c r="O16" s="232"/>
      <x:c r="P16" s="230" t="str">
        <x:f>IF(A16="","",H16*O16)</x:f>
      </x:c>
      <x:c r="Q16" s="225"/>
      <x:c r="R16" s="225"/>
      <x:c r="S16" s="224"/>
      <x:c r="T16" s="226"/>
      <x:c r="U16" s="83"/>
      <x:c r="V16" s="83" t="str">
        <x:f>IF(A16="","",IF(U16="","阻断：缺服务编号",IF(OR(I16="",J16="",K16="",L16="",O16=""),"阻断：成本/工时/订金未填",IF(P16&lt;I16+L16,"阻断：订金不足以覆盖全部现金成本",IF(N16&lt;0.5,"阻断：经济贡献率低于50%",IF(IFERROR((H16-I16-L16)/H16,0)&lt;IFERROR(XLOOKUP(U16,'服务测试'!$A$5:$A$13,'服务测试'!$J$5:$J$13),1),"阻断：现金贡献率低于服务目标",IFERROR(IF(AND(OR(XLOOKUP(U16,'服务测试'!$A$5:$A$13,'服务测试'!$D$5:$D$13)="付费测试已批准",XLOOKUP(U16,'服务测试'!$A$5:$A$13,'服务测试'!$D$5:$D$13)="已验证"),XLOOKUP(U16,'服务测试'!$A$5:$A$13,'服务测试'!$S$5:$S$13)="已批准",XLOOKUP(U16,'服务测试'!$A$5:$A$13,'服务测试'!$T$5:$T$13)&lt;&gt;"",XLOOKUP(U16,'服务测试'!$A$5:$A$13,'服务测试'!$U$5:$U$13)&lt;&gt;"未知"),"可报价","阻断：服务硬门或成本未过"),"阻断：服务编号不存在")))))))</x:f>
      </x:c>
    </x:row>
    <x:row r="17">
      <x:c r="A17" s="224"/>
      <x:c r="B17" s="224"/>
      <x:c r="C17" s="225"/>
      <x:c r="D17" s="226"/>
      <x:c r="E17" s="224"/>
      <x:c r="F17" s="228"/>
      <x:c r="G17" s="229" t="str">
        <x:f>IF(A17="","",IF(E17="CNY",1,IF(E17="JPY",'说明与目标'!$B$10,"")))</x:f>
      </x:c>
      <x:c r="H17" s="229" t="str">
        <x:f>IF(A17="","",F17*G17)</x:f>
      </x:c>
      <x:c r="I17" s="228"/>
      <x:c r="J17" s="224"/>
      <x:c r="K17" s="228"/>
      <x:c r="L17" s="228"/>
      <x:c r="M17" s="230" t="str">
        <x:f>IF(A17="","",H17-I17-J17*K17-L17)</x:f>
      </x:c>
      <x:c r="N17" s="231" t="str">
        <x:f>IFERROR(M17/H17,"")</x:f>
      </x:c>
      <x:c r="O17" s="232"/>
      <x:c r="P17" s="230" t="str">
        <x:f>IF(A17="","",H17*O17)</x:f>
      </x:c>
      <x:c r="Q17" s="225"/>
      <x:c r="R17" s="225"/>
      <x:c r="S17" s="224"/>
      <x:c r="T17" s="226"/>
      <x:c r="U17" s="83"/>
      <x:c r="V17" s="83" t="str">
        <x:f>IF(A17="","",IF(U17="","阻断：缺服务编号",IF(OR(I17="",J17="",K17="",L17="",O17=""),"阻断：成本/工时/订金未填",IF(P17&lt;I17+L17,"阻断：订金不足以覆盖全部现金成本",IF(N17&lt;0.5,"阻断：经济贡献率低于50%",IF(IFERROR((H17-I17-L17)/H17,0)&lt;IFERROR(XLOOKUP(U17,'服务测试'!$A$5:$A$13,'服务测试'!$J$5:$J$13),1),"阻断：现金贡献率低于服务目标",IFERROR(IF(AND(OR(XLOOKUP(U17,'服务测试'!$A$5:$A$13,'服务测试'!$D$5:$D$13)="付费测试已批准",XLOOKUP(U17,'服务测试'!$A$5:$A$13,'服务测试'!$D$5:$D$13)="已验证"),XLOOKUP(U17,'服务测试'!$A$5:$A$13,'服务测试'!$S$5:$S$13)="已批准",XLOOKUP(U17,'服务测试'!$A$5:$A$13,'服务测试'!$T$5:$T$13)&lt;&gt;"",XLOOKUP(U17,'服务测试'!$A$5:$A$13,'服务测试'!$U$5:$U$13)&lt;&gt;"未知"),"可报价","阻断：服务硬门或成本未过"),"阻断：服务编号不存在")))))))</x:f>
      </x:c>
    </x:row>
    <x:row r="18">
      <x:c r="A18" s="224"/>
      <x:c r="B18" s="224"/>
      <x:c r="C18" s="225"/>
      <x:c r="D18" s="226"/>
      <x:c r="E18" s="224"/>
      <x:c r="F18" s="228"/>
      <x:c r="G18" s="229" t="str">
        <x:f>IF(A18="","",IF(E18="CNY",1,IF(E18="JPY",'说明与目标'!$B$10,"")))</x:f>
      </x:c>
      <x:c r="H18" s="229" t="str">
        <x:f>IF(A18="","",F18*G18)</x:f>
      </x:c>
      <x:c r="I18" s="228"/>
      <x:c r="J18" s="224"/>
      <x:c r="K18" s="228"/>
      <x:c r="L18" s="228"/>
      <x:c r="M18" s="230" t="str">
        <x:f>IF(A18="","",H18-I18-J18*K18-L18)</x:f>
      </x:c>
      <x:c r="N18" s="231" t="str">
        <x:f>IFERROR(M18/H18,"")</x:f>
      </x:c>
      <x:c r="O18" s="232"/>
      <x:c r="P18" s="230" t="str">
        <x:f>IF(A18="","",H18*O18)</x:f>
      </x:c>
      <x:c r="Q18" s="225"/>
      <x:c r="R18" s="225"/>
      <x:c r="S18" s="224"/>
      <x:c r="T18" s="226"/>
      <x:c r="U18" s="83"/>
      <x:c r="V18" s="83" t="str">
        <x:f>IF(A18="","",IF(U18="","阻断：缺服务编号",IF(OR(I18="",J18="",K18="",L18="",O18=""),"阻断：成本/工时/订金未填",IF(P18&lt;I18+L18,"阻断：订金不足以覆盖全部现金成本",IF(N18&lt;0.5,"阻断：经济贡献率低于50%",IF(IFERROR((H18-I18-L18)/H18,0)&lt;IFERROR(XLOOKUP(U18,'服务测试'!$A$5:$A$13,'服务测试'!$J$5:$J$13),1),"阻断：现金贡献率低于服务目标",IFERROR(IF(AND(OR(XLOOKUP(U18,'服务测试'!$A$5:$A$13,'服务测试'!$D$5:$D$13)="付费测试已批准",XLOOKUP(U18,'服务测试'!$A$5:$A$13,'服务测试'!$D$5:$D$13)="已验证"),XLOOKUP(U18,'服务测试'!$A$5:$A$13,'服务测试'!$S$5:$S$13)="已批准",XLOOKUP(U18,'服务测试'!$A$5:$A$13,'服务测试'!$T$5:$T$13)&lt;&gt;"",XLOOKUP(U18,'服务测试'!$A$5:$A$13,'服务测试'!$U$5:$U$13)&lt;&gt;"未知"),"可报价","阻断：服务硬门或成本未过"),"阻断：服务编号不存在")))))))</x:f>
      </x:c>
    </x:row>
    <x:row r="19">
      <x:c r="A19" s="224"/>
      <x:c r="B19" s="224"/>
      <x:c r="C19" s="225"/>
      <x:c r="D19" s="226"/>
      <x:c r="E19" s="224"/>
      <x:c r="F19" s="228"/>
      <x:c r="G19" s="229" t="str">
        <x:f>IF(A19="","",IF(E19="CNY",1,IF(E19="JPY",'说明与目标'!$B$10,"")))</x:f>
      </x:c>
      <x:c r="H19" s="229" t="str">
        <x:f>IF(A19="","",F19*G19)</x:f>
      </x:c>
      <x:c r="I19" s="228"/>
      <x:c r="J19" s="224"/>
      <x:c r="K19" s="228"/>
      <x:c r="L19" s="228"/>
      <x:c r="M19" s="230" t="str">
        <x:f>IF(A19="","",H19-I19-J19*K19-L19)</x:f>
      </x:c>
      <x:c r="N19" s="231" t="str">
        <x:f>IFERROR(M19/H19,"")</x:f>
      </x:c>
      <x:c r="O19" s="232"/>
      <x:c r="P19" s="230" t="str">
        <x:f>IF(A19="","",H19*O19)</x:f>
      </x:c>
      <x:c r="Q19" s="225"/>
      <x:c r="R19" s="225"/>
      <x:c r="S19" s="224"/>
      <x:c r="T19" s="226"/>
      <x:c r="U19" s="83"/>
      <x:c r="V19" s="83" t="str">
        <x:f>IF(A19="","",IF(U19="","阻断：缺服务编号",IF(OR(I19="",J19="",K19="",L19="",O19=""),"阻断：成本/工时/订金未填",IF(P19&lt;I19+L19,"阻断：订金不足以覆盖全部现金成本",IF(N19&lt;0.5,"阻断：经济贡献率低于50%",IF(IFERROR((H19-I19-L19)/H19,0)&lt;IFERROR(XLOOKUP(U19,'服务测试'!$A$5:$A$13,'服务测试'!$J$5:$J$13),1),"阻断：现金贡献率低于服务目标",IFERROR(IF(AND(OR(XLOOKUP(U19,'服务测试'!$A$5:$A$13,'服务测试'!$D$5:$D$13)="付费测试已批准",XLOOKUP(U19,'服务测试'!$A$5:$A$13,'服务测试'!$D$5:$D$13)="已验证"),XLOOKUP(U19,'服务测试'!$A$5:$A$13,'服务测试'!$S$5:$S$13)="已批准",XLOOKUP(U19,'服务测试'!$A$5:$A$13,'服务测试'!$T$5:$T$13)&lt;&gt;"",XLOOKUP(U19,'服务测试'!$A$5:$A$13,'服务测试'!$U$5:$U$13)&lt;&gt;"未知"),"可报价","阻断：服务硬门或成本未过"),"阻断：服务编号不存在")))))))</x:f>
      </x:c>
    </x:row>
    <x:row r="20">
      <x:c r="A20" s="224"/>
      <x:c r="B20" s="224"/>
      <x:c r="C20" s="225"/>
      <x:c r="D20" s="226"/>
      <x:c r="E20" s="224"/>
      <x:c r="F20" s="228"/>
      <x:c r="G20" s="229" t="str">
        <x:f>IF(A20="","",IF(E20="CNY",1,IF(E20="JPY",'说明与目标'!$B$10,"")))</x:f>
      </x:c>
      <x:c r="H20" s="229" t="str">
        <x:f>IF(A20="","",F20*G20)</x:f>
      </x:c>
      <x:c r="I20" s="228"/>
      <x:c r="J20" s="224"/>
      <x:c r="K20" s="228"/>
      <x:c r="L20" s="228"/>
      <x:c r="M20" s="230" t="str">
        <x:f>IF(A20="","",H20-I20-J20*K20-L20)</x:f>
      </x:c>
      <x:c r="N20" s="231" t="str">
        <x:f>IFERROR(M20/H20,"")</x:f>
      </x:c>
      <x:c r="O20" s="232"/>
      <x:c r="P20" s="230" t="str">
        <x:f>IF(A20="","",H20*O20)</x:f>
      </x:c>
      <x:c r="Q20" s="225"/>
      <x:c r="R20" s="225"/>
      <x:c r="S20" s="224"/>
      <x:c r="T20" s="226"/>
      <x:c r="U20" s="83"/>
      <x:c r="V20" s="83" t="str">
        <x:f>IF(A20="","",IF(U20="","阻断：缺服务编号",IF(OR(I20="",J20="",K20="",L20="",O20=""),"阻断：成本/工时/订金未填",IF(P20&lt;I20+L20,"阻断：订金不足以覆盖全部现金成本",IF(N20&lt;0.5,"阻断：经济贡献率低于50%",IF(IFERROR((H20-I20-L20)/H20,0)&lt;IFERROR(XLOOKUP(U20,'服务测试'!$A$5:$A$13,'服务测试'!$J$5:$J$13),1),"阻断：现金贡献率低于服务目标",IFERROR(IF(AND(OR(XLOOKUP(U20,'服务测试'!$A$5:$A$13,'服务测试'!$D$5:$D$13)="付费测试已批准",XLOOKUP(U20,'服务测试'!$A$5:$A$13,'服务测试'!$D$5:$D$13)="已验证"),XLOOKUP(U20,'服务测试'!$A$5:$A$13,'服务测试'!$S$5:$S$13)="已批准",XLOOKUP(U20,'服务测试'!$A$5:$A$13,'服务测试'!$T$5:$T$13)&lt;&gt;"",XLOOKUP(U20,'服务测试'!$A$5:$A$13,'服务测试'!$U$5:$U$13)&lt;&gt;"未知"),"可报价","阻断：服务硬门或成本未过"),"阻断：服务编号不存在")))))))</x:f>
      </x:c>
    </x:row>
    <x:row r="21">
      <x:c r="A21" s="224"/>
      <x:c r="B21" s="224"/>
      <x:c r="C21" s="225"/>
      <x:c r="D21" s="226"/>
      <x:c r="E21" s="224"/>
      <x:c r="F21" s="228"/>
      <x:c r="G21" s="229" t="str">
        <x:f>IF(A21="","",IF(E21="CNY",1,IF(E21="JPY",'说明与目标'!$B$10,"")))</x:f>
      </x:c>
      <x:c r="H21" s="229" t="str">
        <x:f>IF(A21="","",F21*G21)</x:f>
      </x:c>
      <x:c r="I21" s="228"/>
      <x:c r="J21" s="224"/>
      <x:c r="K21" s="228"/>
      <x:c r="L21" s="228"/>
      <x:c r="M21" s="230" t="str">
        <x:f>IF(A21="","",H21-I21-J21*K21-L21)</x:f>
      </x:c>
      <x:c r="N21" s="231" t="str">
        <x:f>IFERROR(M21/H21,"")</x:f>
      </x:c>
      <x:c r="O21" s="232"/>
      <x:c r="P21" s="230" t="str">
        <x:f>IF(A21="","",H21*O21)</x:f>
      </x:c>
      <x:c r="Q21" s="225"/>
      <x:c r="R21" s="225"/>
      <x:c r="S21" s="224"/>
      <x:c r="T21" s="226"/>
      <x:c r="U21" s="83"/>
      <x:c r="V21" s="83" t="str">
        <x:f>IF(A21="","",IF(U21="","阻断：缺服务编号",IF(OR(I21="",J21="",K21="",L21="",O21=""),"阻断：成本/工时/订金未填",IF(P21&lt;I21+L21,"阻断：订金不足以覆盖全部现金成本",IF(N21&lt;0.5,"阻断：经济贡献率低于50%",IF(IFERROR((H21-I21-L21)/H21,0)&lt;IFERROR(XLOOKUP(U21,'服务测试'!$A$5:$A$13,'服务测试'!$J$5:$J$13),1),"阻断：现金贡献率低于服务目标",IFERROR(IF(AND(OR(XLOOKUP(U21,'服务测试'!$A$5:$A$13,'服务测试'!$D$5:$D$13)="付费测试已批准",XLOOKUP(U21,'服务测试'!$A$5:$A$13,'服务测试'!$D$5:$D$13)="已验证"),XLOOKUP(U21,'服务测试'!$A$5:$A$13,'服务测试'!$S$5:$S$13)="已批准",XLOOKUP(U21,'服务测试'!$A$5:$A$13,'服务测试'!$T$5:$T$13)&lt;&gt;"",XLOOKUP(U21,'服务测试'!$A$5:$A$13,'服务测试'!$U$5:$U$13)&lt;&gt;"未知"),"可报价","阻断：服务硬门或成本未过"),"阻断：服务编号不存在")))))))</x:f>
      </x:c>
    </x:row>
    <x:row r="22">
      <x:c r="A22" s="224"/>
      <x:c r="B22" s="224"/>
      <x:c r="C22" s="225"/>
      <x:c r="D22" s="226"/>
      <x:c r="E22" s="224"/>
      <x:c r="F22" s="228"/>
      <x:c r="G22" s="229" t="str">
        <x:f>IF(A22="","",IF(E22="CNY",1,IF(E22="JPY",'说明与目标'!$B$10,"")))</x:f>
      </x:c>
      <x:c r="H22" s="229" t="str">
        <x:f>IF(A22="","",F22*G22)</x:f>
      </x:c>
      <x:c r="I22" s="228"/>
      <x:c r="J22" s="224"/>
      <x:c r="K22" s="228"/>
      <x:c r="L22" s="228"/>
      <x:c r="M22" s="230" t="str">
        <x:f>IF(A22="","",H22-I22-J22*K22-L22)</x:f>
      </x:c>
      <x:c r="N22" s="231" t="str">
        <x:f>IFERROR(M22/H22,"")</x:f>
      </x:c>
      <x:c r="O22" s="232"/>
      <x:c r="P22" s="230" t="str">
        <x:f>IF(A22="","",H22*O22)</x:f>
      </x:c>
      <x:c r="Q22" s="225"/>
      <x:c r="R22" s="225"/>
      <x:c r="S22" s="224"/>
      <x:c r="T22" s="226"/>
      <x:c r="U22" s="83"/>
      <x:c r="V22" s="83" t="str">
        <x:f>IF(A22="","",IF(U22="","阻断：缺服务编号",IF(OR(I22="",J22="",K22="",L22="",O22=""),"阻断：成本/工时/订金未填",IF(P22&lt;I22+L22,"阻断：订金不足以覆盖全部现金成本",IF(N22&lt;0.5,"阻断：经济贡献率低于50%",IF(IFERROR((H22-I22-L22)/H22,0)&lt;IFERROR(XLOOKUP(U22,'服务测试'!$A$5:$A$13,'服务测试'!$J$5:$J$13),1),"阻断：现金贡献率低于服务目标",IFERROR(IF(AND(OR(XLOOKUP(U22,'服务测试'!$A$5:$A$13,'服务测试'!$D$5:$D$13)="付费测试已批准",XLOOKUP(U22,'服务测试'!$A$5:$A$13,'服务测试'!$D$5:$D$13)="已验证"),XLOOKUP(U22,'服务测试'!$A$5:$A$13,'服务测试'!$S$5:$S$13)="已批准",XLOOKUP(U22,'服务测试'!$A$5:$A$13,'服务测试'!$T$5:$T$13)&lt;&gt;"",XLOOKUP(U22,'服务测试'!$A$5:$A$13,'服务测试'!$U$5:$U$13)&lt;&gt;"未知"),"可报价","阻断：服务硬门或成本未过"),"阻断：服务编号不存在")))))))</x:f>
      </x:c>
    </x:row>
    <x:row r="23">
      <x:c r="A23" s="224"/>
      <x:c r="B23" s="224"/>
      <x:c r="C23" s="225"/>
      <x:c r="D23" s="226"/>
      <x:c r="E23" s="224"/>
      <x:c r="F23" s="228"/>
      <x:c r="G23" s="229" t="str">
        <x:f>IF(A23="","",IF(E23="CNY",1,IF(E23="JPY",'说明与目标'!$B$10,"")))</x:f>
      </x:c>
      <x:c r="H23" s="229" t="str">
        <x:f>IF(A23="","",F23*G23)</x:f>
      </x:c>
      <x:c r="I23" s="228"/>
      <x:c r="J23" s="224"/>
      <x:c r="K23" s="228"/>
      <x:c r="L23" s="228"/>
      <x:c r="M23" s="230" t="str">
        <x:f>IF(A23="","",H23-I23-J23*K23-L23)</x:f>
      </x:c>
      <x:c r="N23" s="231" t="str">
        <x:f>IFERROR(M23/H23,"")</x:f>
      </x:c>
      <x:c r="O23" s="232"/>
      <x:c r="P23" s="230" t="str">
        <x:f>IF(A23="","",H23*O23)</x:f>
      </x:c>
      <x:c r="Q23" s="225"/>
      <x:c r="R23" s="225"/>
      <x:c r="S23" s="224"/>
      <x:c r="T23" s="226"/>
      <x:c r="U23" s="83"/>
      <x:c r="V23" s="83" t="str">
        <x:f>IF(A23="","",IF(U23="","阻断：缺服务编号",IF(OR(I23="",J23="",K23="",L23="",O23=""),"阻断：成本/工时/订金未填",IF(P23&lt;I23+L23,"阻断：订金不足以覆盖全部现金成本",IF(N23&lt;0.5,"阻断：经济贡献率低于50%",IF(IFERROR((H23-I23-L23)/H23,0)&lt;IFERROR(XLOOKUP(U23,'服务测试'!$A$5:$A$13,'服务测试'!$J$5:$J$13),1),"阻断：现金贡献率低于服务目标",IFERROR(IF(AND(OR(XLOOKUP(U23,'服务测试'!$A$5:$A$13,'服务测试'!$D$5:$D$13)="付费测试已批准",XLOOKUP(U23,'服务测试'!$A$5:$A$13,'服务测试'!$D$5:$D$13)="已验证"),XLOOKUP(U23,'服务测试'!$A$5:$A$13,'服务测试'!$S$5:$S$13)="已批准",XLOOKUP(U23,'服务测试'!$A$5:$A$13,'服务测试'!$T$5:$T$13)&lt;&gt;"",XLOOKUP(U23,'服务测试'!$A$5:$A$13,'服务测试'!$U$5:$U$13)&lt;&gt;"未知"),"可报价","阻断：服务硬门或成本未过"),"阻断：服务编号不存在")))))))</x:f>
      </x:c>
    </x:row>
    <x:row r="24">
      <x:c r="A24" s="224"/>
      <x:c r="B24" s="224"/>
      <x:c r="C24" s="225"/>
      <x:c r="D24" s="226"/>
      <x:c r="E24" s="224"/>
      <x:c r="F24" s="228"/>
      <x:c r="G24" s="229" t="str">
        <x:f>IF(A24="","",IF(E24="CNY",1,IF(E24="JPY",'说明与目标'!$B$10,"")))</x:f>
      </x:c>
      <x:c r="H24" s="229" t="str">
        <x:f>IF(A24="","",F24*G24)</x:f>
      </x:c>
      <x:c r="I24" s="228"/>
      <x:c r="J24" s="224"/>
      <x:c r="K24" s="228"/>
      <x:c r="L24" s="228"/>
      <x:c r="M24" s="230" t="str">
        <x:f>IF(A24="","",H24-I24-J24*K24-L24)</x:f>
      </x:c>
      <x:c r="N24" s="231" t="str">
        <x:f>IFERROR(M24/H24,"")</x:f>
      </x:c>
      <x:c r="O24" s="232"/>
      <x:c r="P24" s="230" t="str">
        <x:f>IF(A24="","",H24*O24)</x:f>
      </x:c>
      <x:c r="Q24" s="225"/>
      <x:c r="R24" s="225"/>
      <x:c r="S24" s="224"/>
      <x:c r="T24" s="226"/>
      <x:c r="U24" s="83"/>
      <x:c r="V24" s="83" t="str">
        <x:f>IF(A24="","",IF(U24="","阻断：缺服务编号",IF(OR(I24="",J24="",K24="",L24="",O24=""),"阻断：成本/工时/订金未填",IF(P24&lt;I24+L24,"阻断：订金不足以覆盖全部现金成本",IF(N24&lt;0.5,"阻断：经济贡献率低于50%",IF(IFERROR((H24-I24-L24)/H24,0)&lt;IFERROR(XLOOKUP(U24,'服务测试'!$A$5:$A$13,'服务测试'!$J$5:$J$13),1),"阻断：现金贡献率低于服务目标",IFERROR(IF(AND(OR(XLOOKUP(U24,'服务测试'!$A$5:$A$13,'服务测试'!$D$5:$D$13)="付费测试已批准",XLOOKUP(U24,'服务测试'!$A$5:$A$13,'服务测试'!$D$5:$D$13)="已验证"),XLOOKUP(U24,'服务测试'!$A$5:$A$13,'服务测试'!$S$5:$S$13)="已批准",XLOOKUP(U24,'服务测试'!$A$5:$A$13,'服务测试'!$T$5:$T$13)&lt;&gt;"",XLOOKUP(U24,'服务测试'!$A$5:$A$13,'服务测试'!$U$5:$U$13)&lt;&gt;"未知"),"可报价","阻断：服务硬门或成本未过"),"阻断：服务编号不存在")))))))</x:f>
      </x:c>
    </x:row>
    <x:row r="25">
      <x:c r="A25" s="224"/>
      <x:c r="B25" s="224"/>
      <x:c r="C25" s="225"/>
      <x:c r="D25" s="226"/>
      <x:c r="E25" s="224"/>
      <x:c r="F25" s="228"/>
      <x:c r="G25" s="229" t="str">
        <x:f>IF(A25="","",IF(E25="CNY",1,IF(E25="JPY",'说明与目标'!$B$10,"")))</x:f>
      </x:c>
      <x:c r="H25" s="229" t="str">
        <x:f>IF(A25="","",F25*G25)</x:f>
      </x:c>
      <x:c r="I25" s="228"/>
      <x:c r="J25" s="224"/>
      <x:c r="K25" s="228"/>
      <x:c r="L25" s="228"/>
      <x:c r="M25" s="230" t="str">
        <x:f>IF(A25="","",H25-I25-J25*K25-L25)</x:f>
      </x:c>
      <x:c r="N25" s="231" t="str">
        <x:f>IFERROR(M25/H25,"")</x:f>
      </x:c>
      <x:c r="O25" s="232"/>
      <x:c r="P25" s="230" t="str">
        <x:f>IF(A25="","",H25*O25)</x:f>
      </x:c>
      <x:c r="Q25" s="225"/>
      <x:c r="R25" s="225"/>
      <x:c r="S25" s="224"/>
      <x:c r="T25" s="226"/>
      <x:c r="U25" s="83"/>
      <x:c r="V25" s="83" t="str">
        <x:f>IF(A25="","",IF(U25="","阻断：缺服务编号",IF(OR(I25="",J25="",K25="",L25="",O25=""),"阻断：成本/工时/订金未填",IF(P25&lt;I25+L25,"阻断：订金不足以覆盖全部现金成本",IF(N25&lt;0.5,"阻断：经济贡献率低于50%",IF(IFERROR((H25-I25-L25)/H25,0)&lt;IFERROR(XLOOKUP(U25,'服务测试'!$A$5:$A$13,'服务测试'!$J$5:$J$13),1),"阻断：现金贡献率低于服务目标",IFERROR(IF(AND(OR(XLOOKUP(U25,'服务测试'!$A$5:$A$13,'服务测试'!$D$5:$D$13)="付费测试已批准",XLOOKUP(U25,'服务测试'!$A$5:$A$13,'服务测试'!$D$5:$D$13)="已验证"),XLOOKUP(U25,'服务测试'!$A$5:$A$13,'服务测试'!$S$5:$S$13)="已批准",XLOOKUP(U25,'服务测试'!$A$5:$A$13,'服务测试'!$T$5:$T$13)&lt;&gt;"",XLOOKUP(U25,'服务测试'!$A$5:$A$13,'服务测试'!$U$5:$U$13)&lt;&gt;"未知"),"可报价","阻断：服务硬门或成本未过"),"阻断：服务编号不存在")))))))</x:f>
      </x:c>
    </x:row>
    <x:row r="26">
      <x:c r="A26" s="224"/>
      <x:c r="B26" s="224"/>
      <x:c r="C26" s="225"/>
      <x:c r="D26" s="226"/>
      <x:c r="E26" s="224"/>
      <x:c r="F26" s="228"/>
      <x:c r="G26" s="229" t="str">
        <x:f>IF(A26="","",IF(E26="CNY",1,IF(E26="JPY",'说明与目标'!$B$10,"")))</x:f>
      </x:c>
      <x:c r="H26" s="229" t="str">
        <x:f>IF(A26="","",F26*G26)</x:f>
      </x:c>
      <x:c r="I26" s="228"/>
      <x:c r="J26" s="224"/>
      <x:c r="K26" s="228"/>
      <x:c r="L26" s="228"/>
      <x:c r="M26" s="230" t="str">
        <x:f>IF(A26="","",H26-I26-J26*K26-L26)</x:f>
      </x:c>
      <x:c r="N26" s="231" t="str">
        <x:f>IFERROR(M26/H26,"")</x:f>
      </x:c>
      <x:c r="O26" s="232"/>
      <x:c r="P26" s="230" t="str">
        <x:f>IF(A26="","",H26*O26)</x:f>
      </x:c>
      <x:c r="Q26" s="225"/>
      <x:c r="R26" s="225"/>
      <x:c r="S26" s="224"/>
      <x:c r="T26" s="226"/>
      <x:c r="U26" s="83"/>
      <x:c r="V26" s="83" t="str">
        <x:f>IF(A26="","",IF(U26="","阻断：缺服务编号",IF(OR(I26="",J26="",K26="",L26="",O26=""),"阻断：成本/工时/订金未填",IF(P26&lt;I26+L26,"阻断：订金不足以覆盖全部现金成本",IF(N26&lt;0.5,"阻断：经济贡献率低于50%",IF(IFERROR((H26-I26-L26)/H26,0)&lt;IFERROR(XLOOKUP(U26,'服务测试'!$A$5:$A$13,'服务测试'!$J$5:$J$13),1),"阻断：现金贡献率低于服务目标",IFERROR(IF(AND(OR(XLOOKUP(U26,'服务测试'!$A$5:$A$13,'服务测试'!$D$5:$D$13)="付费测试已批准",XLOOKUP(U26,'服务测试'!$A$5:$A$13,'服务测试'!$D$5:$D$13)="已验证"),XLOOKUP(U26,'服务测试'!$A$5:$A$13,'服务测试'!$S$5:$S$13)="已批准",XLOOKUP(U26,'服务测试'!$A$5:$A$13,'服务测试'!$T$5:$T$13)&lt;&gt;"",XLOOKUP(U26,'服务测试'!$A$5:$A$13,'服务测试'!$U$5:$U$13)&lt;&gt;"未知"),"可报价","阻断：服务硬门或成本未过"),"阻断：服务编号不存在")))))))</x:f>
      </x:c>
    </x:row>
    <x:row r="27">
      <x:c r="A27" s="224"/>
      <x:c r="B27" s="224"/>
      <x:c r="C27" s="225"/>
      <x:c r="D27" s="226"/>
      <x:c r="E27" s="224"/>
      <x:c r="F27" s="228"/>
      <x:c r="G27" s="229" t="str">
        <x:f>IF(A27="","",IF(E27="CNY",1,IF(E27="JPY",'说明与目标'!$B$10,"")))</x:f>
      </x:c>
      <x:c r="H27" s="229" t="str">
        <x:f>IF(A27="","",F27*G27)</x:f>
      </x:c>
      <x:c r="I27" s="228"/>
      <x:c r="J27" s="224"/>
      <x:c r="K27" s="228"/>
      <x:c r="L27" s="228"/>
      <x:c r="M27" s="230" t="str">
        <x:f>IF(A27="","",H27-I27-J27*K27-L27)</x:f>
      </x:c>
      <x:c r="N27" s="231" t="str">
        <x:f>IFERROR(M27/H27,"")</x:f>
      </x:c>
      <x:c r="O27" s="232"/>
      <x:c r="P27" s="230" t="str">
        <x:f>IF(A27="","",H27*O27)</x:f>
      </x:c>
      <x:c r="Q27" s="225"/>
      <x:c r="R27" s="225"/>
      <x:c r="S27" s="224"/>
      <x:c r="T27" s="226"/>
      <x:c r="U27" s="83"/>
      <x:c r="V27" s="83" t="str">
        <x:f>IF(A27="","",IF(U27="","阻断：缺服务编号",IF(OR(I27="",J27="",K27="",L27="",O27=""),"阻断：成本/工时/订金未填",IF(P27&lt;I27+L27,"阻断：订金不足以覆盖全部现金成本",IF(N27&lt;0.5,"阻断：经济贡献率低于50%",IF(IFERROR((H27-I27-L27)/H27,0)&lt;IFERROR(XLOOKUP(U27,'服务测试'!$A$5:$A$13,'服务测试'!$J$5:$J$13),1),"阻断：现金贡献率低于服务目标",IFERROR(IF(AND(OR(XLOOKUP(U27,'服务测试'!$A$5:$A$13,'服务测试'!$D$5:$D$13)="付费测试已批准",XLOOKUP(U27,'服务测试'!$A$5:$A$13,'服务测试'!$D$5:$D$13)="已验证"),XLOOKUP(U27,'服务测试'!$A$5:$A$13,'服务测试'!$S$5:$S$13)="已批准",XLOOKUP(U27,'服务测试'!$A$5:$A$13,'服务测试'!$T$5:$T$13)&lt;&gt;"",XLOOKUP(U27,'服务测试'!$A$5:$A$13,'服务测试'!$U$5:$U$13)&lt;&gt;"未知"),"可报价","阻断：服务硬门或成本未过"),"阻断：服务编号不存在")))))))</x:f>
      </x:c>
    </x:row>
    <x:row r="28">
      <x:c r="A28" s="224"/>
      <x:c r="B28" s="224"/>
      <x:c r="C28" s="225"/>
      <x:c r="D28" s="226"/>
      <x:c r="E28" s="224"/>
      <x:c r="F28" s="228"/>
      <x:c r="G28" s="229" t="str">
        <x:f>IF(A28="","",IF(E28="CNY",1,IF(E28="JPY",'说明与目标'!$B$10,"")))</x:f>
      </x:c>
      <x:c r="H28" s="229" t="str">
        <x:f>IF(A28="","",F28*G28)</x:f>
      </x:c>
      <x:c r="I28" s="228"/>
      <x:c r="J28" s="224"/>
      <x:c r="K28" s="228"/>
      <x:c r="L28" s="228"/>
      <x:c r="M28" s="230" t="str">
        <x:f>IF(A28="","",H28-I28-J28*K28-L28)</x:f>
      </x:c>
      <x:c r="N28" s="231" t="str">
        <x:f>IFERROR(M28/H28,"")</x:f>
      </x:c>
      <x:c r="O28" s="232"/>
      <x:c r="P28" s="230" t="str">
        <x:f>IF(A28="","",H28*O28)</x:f>
      </x:c>
      <x:c r="Q28" s="225"/>
      <x:c r="R28" s="225"/>
      <x:c r="S28" s="224"/>
      <x:c r="T28" s="226"/>
      <x:c r="U28" s="83"/>
      <x:c r="V28" s="83" t="str">
        <x:f>IF(A28="","",IF(U28="","阻断：缺服务编号",IF(OR(I28="",J28="",K28="",L28="",O28=""),"阻断：成本/工时/订金未填",IF(P28&lt;I28+L28,"阻断：订金不足以覆盖全部现金成本",IF(N28&lt;0.5,"阻断：经济贡献率低于50%",IF(IFERROR((H28-I28-L28)/H28,0)&lt;IFERROR(XLOOKUP(U28,'服务测试'!$A$5:$A$13,'服务测试'!$J$5:$J$13),1),"阻断：现金贡献率低于服务目标",IFERROR(IF(AND(OR(XLOOKUP(U28,'服务测试'!$A$5:$A$13,'服务测试'!$D$5:$D$13)="付费测试已批准",XLOOKUP(U28,'服务测试'!$A$5:$A$13,'服务测试'!$D$5:$D$13)="已验证"),XLOOKUP(U28,'服务测试'!$A$5:$A$13,'服务测试'!$S$5:$S$13)="已批准",XLOOKUP(U28,'服务测试'!$A$5:$A$13,'服务测试'!$T$5:$T$13)&lt;&gt;"",XLOOKUP(U28,'服务测试'!$A$5:$A$13,'服务测试'!$U$5:$U$13)&lt;&gt;"未知"),"可报价","阻断：服务硬门或成本未过"),"阻断：服务编号不存在")))))))</x:f>
      </x:c>
    </x:row>
    <x:row r="29">
      <x:c r="A29" s="224"/>
      <x:c r="B29" s="224"/>
      <x:c r="C29" s="225"/>
      <x:c r="D29" s="226"/>
      <x:c r="E29" s="224"/>
      <x:c r="F29" s="228"/>
      <x:c r="G29" s="229" t="str">
        <x:f>IF(A29="","",IF(E29="CNY",1,IF(E29="JPY",'说明与目标'!$B$10,"")))</x:f>
      </x:c>
      <x:c r="H29" s="229" t="str">
        <x:f>IF(A29="","",F29*G29)</x:f>
      </x:c>
      <x:c r="I29" s="228"/>
      <x:c r="J29" s="224"/>
      <x:c r="K29" s="228"/>
      <x:c r="L29" s="228"/>
      <x:c r="M29" s="230" t="str">
        <x:f>IF(A29="","",H29-I29-J29*K29-L29)</x:f>
      </x:c>
      <x:c r="N29" s="231" t="str">
        <x:f>IFERROR(M29/H29,"")</x:f>
      </x:c>
      <x:c r="O29" s="232"/>
      <x:c r="P29" s="230" t="str">
        <x:f>IF(A29="","",H29*O29)</x:f>
      </x:c>
      <x:c r="Q29" s="225"/>
      <x:c r="R29" s="225"/>
      <x:c r="S29" s="224"/>
      <x:c r="T29" s="226"/>
      <x:c r="U29" s="83"/>
      <x:c r="V29" s="83" t="str">
        <x:f>IF(A29="","",IF(U29="","阻断：缺服务编号",IF(OR(I29="",J29="",K29="",L29="",O29=""),"阻断：成本/工时/订金未填",IF(P29&lt;I29+L29,"阻断：订金不足以覆盖全部现金成本",IF(N29&lt;0.5,"阻断：经济贡献率低于50%",IF(IFERROR((H29-I29-L29)/H29,0)&lt;IFERROR(XLOOKUP(U29,'服务测试'!$A$5:$A$13,'服务测试'!$J$5:$J$13),1),"阻断：现金贡献率低于服务目标",IFERROR(IF(AND(OR(XLOOKUP(U29,'服务测试'!$A$5:$A$13,'服务测试'!$D$5:$D$13)="付费测试已批准",XLOOKUP(U29,'服务测试'!$A$5:$A$13,'服务测试'!$D$5:$D$13)="已验证"),XLOOKUP(U29,'服务测试'!$A$5:$A$13,'服务测试'!$S$5:$S$13)="已批准",XLOOKUP(U29,'服务测试'!$A$5:$A$13,'服务测试'!$T$5:$T$13)&lt;&gt;"",XLOOKUP(U29,'服务测试'!$A$5:$A$13,'服务测试'!$U$5:$U$13)&lt;&gt;"未知"),"可报价","阻断：服务硬门或成本未过"),"阻断：服务编号不存在")))))))</x:f>
      </x:c>
    </x:row>
    <x:row r="30">
      <x:c r="A30" s="224"/>
      <x:c r="B30" s="224"/>
      <x:c r="C30" s="225"/>
      <x:c r="D30" s="226"/>
      <x:c r="E30" s="224"/>
      <x:c r="F30" s="228"/>
      <x:c r="G30" s="229" t="str">
        <x:f>IF(A30="","",IF(E30="CNY",1,IF(E30="JPY",'说明与目标'!$B$10,"")))</x:f>
      </x:c>
      <x:c r="H30" s="229" t="str">
        <x:f>IF(A30="","",F30*G30)</x:f>
      </x:c>
      <x:c r="I30" s="228"/>
      <x:c r="J30" s="224"/>
      <x:c r="K30" s="228"/>
      <x:c r="L30" s="228"/>
      <x:c r="M30" s="230" t="str">
        <x:f>IF(A30="","",H30-I30-J30*K30-L30)</x:f>
      </x:c>
      <x:c r="N30" s="231" t="str">
        <x:f>IFERROR(M30/H30,"")</x:f>
      </x:c>
      <x:c r="O30" s="232"/>
      <x:c r="P30" s="230" t="str">
        <x:f>IF(A30="","",H30*O30)</x:f>
      </x:c>
      <x:c r="Q30" s="225"/>
      <x:c r="R30" s="225"/>
      <x:c r="S30" s="224"/>
      <x:c r="T30" s="226"/>
      <x:c r="U30" s="83"/>
      <x:c r="V30" s="83" t="str">
        <x:f>IF(A30="","",IF(U30="","阻断：缺服务编号",IF(OR(I30="",J30="",K30="",L30="",O30=""),"阻断：成本/工时/订金未填",IF(P30&lt;I30+L30,"阻断：订金不足以覆盖全部现金成本",IF(N30&lt;0.5,"阻断：经济贡献率低于50%",IF(IFERROR((H30-I30-L30)/H30,0)&lt;IFERROR(XLOOKUP(U30,'服务测试'!$A$5:$A$13,'服务测试'!$J$5:$J$13),1),"阻断：现金贡献率低于服务目标",IFERROR(IF(AND(OR(XLOOKUP(U30,'服务测试'!$A$5:$A$13,'服务测试'!$D$5:$D$13)="付费测试已批准",XLOOKUP(U30,'服务测试'!$A$5:$A$13,'服务测试'!$D$5:$D$13)="已验证"),XLOOKUP(U30,'服务测试'!$A$5:$A$13,'服务测试'!$S$5:$S$13)="已批准",XLOOKUP(U30,'服务测试'!$A$5:$A$13,'服务测试'!$T$5:$T$13)&lt;&gt;"",XLOOKUP(U30,'服务测试'!$A$5:$A$13,'服务测试'!$U$5:$U$13)&lt;&gt;"未知"),"可报价","阻断：服务硬门或成本未过"),"阻断：服务编号不存在")))))))</x:f>
      </x:c>
    </x:row>
    <x:row r="31">
      <x:c r="A31" s="224"/>
      <x:c r="B31" s="224"/>
      <x:c r="C31" s="225"/>
      <x:c r="D31" s="226"/>
      <x:c r="E31" s="224"/>
      <x:c r="F31" s="228"/>
      <x:c r="G31" s="229" t="str">
        <x:f>IF(A31="","",IF(E31="CNY",1,IF(E31="JPY",'说明与目标'!$B$10,"")))</x:f>
      </x:c>
      <x:c r="H31" s="229" t="str">
        <x:f>IF(A31="","",F31*G31)</x:f>
      </x:c>
      <x:c r="I31" s="228"/>
      <x:c r="J31" s="224"/>
      <x:c r="K31" s="228"/>
      <x:c r="L31" s="228"/>
      <x:c r="M31" s="230" t="str">
        <x:f>IF(A31="","",H31-I31-J31*K31-L31)</x:f>
      </x:c>
      <x:c r="N31" s="231" t="str">
        <x:f>IFERROR(M31/H31,"")</x:f>
      </x:c>
      <x:c r="O31" s="232"/>
      <x:c r="P31" s="230" t="str">
        <x:f>IF(A31="","",H31*O31)</x:f>
      </x:c>
      <x:c r="Q31" s="225"/>
      <x:c r="R31" s="225"/>
      <x:c r="S31" s="224"/>
      <x:c r="T31" s="226"/>
      <x:c r="U31" s="83"/>
      <x:c r="V31" s="83" t="str">
        <x:f>IF(A31="","",IF(U31="","阻断：缺服务编号",IF(OR(I31="",J31="",K31="",L31="",O31=""),"阻断：成本/工时/订金未填",IF(P31&lt;I31+L31,"阻断：订金不足以覆盖全部现金成本",IF(N31&lt;0.5,"阻断：经济贡献率低于50%",IF(IFERROR((H31-I31-L31)/H31,0)&lt;IFERROR(XLOOKUP(U31,'服务测试'!$A$5:$A$13,'服务测试'!$J$5:$J$13),1),"阻断：现金贡献率低于服务目标",IFERROR(IF(AND(OR(XLOOKUP(U31,'服务测试'!$A$5:$A$13,'服务测试'!$D$5:$D$13)="付费测试已批准",XLOOKUP(U31,'服务测试'!$A$5:$A$13,'服务测试'!$D$5:$D$13)="已验证"),XLOOKUP(U31,'服务测试'!$A$5:$A$13,'服务测试'!$S$5:$S$13)="已批准",XLOOKUP(U31,'服务测试'!$A$5:$A$13,'服务测试'!$T$5:$T$13)&lt;&gt;"",XLOOKUP(U31,'服务测试'!$A$5:$A$13,'服务测试'!$U$5:$U$13)&lt;&gt;"未知"),"可报价","阻断：服务硬门或成本未过"),"阻断：服务编号不存在")))))))</x:f>
      </x:c>
    </x:row>
    <x:row r="32">
      <x:c r="A32" s="224"/>
      <x:c r="B32" s="224"/>
      <x:c r="C32" s="225"/>
      <x:c r="D32" s="226"/>
      <x:c r="E32" s="224"/>
      <x:c r="F32" s="228"/>
      <x:c r="G32" s="229" t="str">
        <x:f>IF(A32="","",IF(E32="CNY",1,IF(E32="JPY",'说明与目标'!$B$10,"")))</x:f>
      </x:c>
      <x:c r="H32" s="229" t="str">
        <x:f>IF(A32="","",F32*G32)</x:f>
      </x:c>
      <x:c r="I32" s="228"/>
      <x:c r="J32" s="224"/>
      <x:c r="K32" s="228"/>
      <x:c r="L32" s="228"/>
      <x:c r="M32" s="230" t="str">
        <x:f>IF(A32="","",H32-I32-J32*K32-L32)</x:f>
      </x:c>
      <x:c r="N32" s="231" t="str">
        <x:f>IFERROR(M32/H32,"")</x:f>
      </x:c>
      <x:c r="O32" s="232"/>
      <x:c r="P32" s="230" t="str">
        <x:f>IF(A32="","",H32*O32)</x:f>
      </x:c>
      <x:c r="Q32" s="225"/>
      <x:c r="R32" s="225"/>
      <x:c r="S32" s="224"/>
      <x:c r="T32" s="226"/>
      <x:c r="U32" s="83"/>
      <x:c r="V32" s="83" t="str">
        <x:f>IF(A32="","",IF(U32="","阻断：缺服务编号",IF(OR(I32="",J32="",K32="",L32="",O32=""),"阻断：成本/工时/订金未填",IF(P32&lt;I32+L32,"阻断：订金不足以覆盖全部现金成本",IF(N32&lt;0.5,"阻断：经济贡献率低于50%",IF(IFERROR((H32-I32-L32)/H32,0)&lt;IFERROR(XLOOKUP(U32,'服务测试'!$A$5:$A$13,'服务测试'!$J$5:$J$13),1),"阻断：现金贡献率低于服务目标",IFERROR(IF(AND(OR(XLOOKUP(U32,'服务测试'!$A$5:$A$13,'服务测试'!$D$5:$D$13)="付费测试已批准",XLOOKUP(U32,'服务测试'!$A$5:$A$13,'服务测试'!$D$5:$D$13)="已验证"),XLOOKUP(U32,'服务测试'!$A$5:$A$13,'服务测试'!$S$5:$S$13)="已批准",XLOOKUP(U32,'服务测试'!$A$5:$A$13,'服务测试'!$T$5:$T$13)&lt;&gt;"",XLOOKUP(U32,'服务测试'!$A$5:$A$13,'服务测试'!$U$5:$U$13)&lt;&gt;"未知"),"可报价","阻断：服务硬门或成本未过"),"阻断：服务编号不存在")))))))</x:f>
      </x:c>
    </x:row>
    <x:row r="33">
      <x:c r="A33" s="224"/>
      <x:c r="B33" s="224"/>
      <x:c r="C33" s="225"/>
      <x:c r="D33" s="226"/>
      <x:c r="E33" s="224"/>
      <x:c r="F33" s="228"/>
      <x:c r="G33" s="229" t="str">
        <x:f>IF(A33="","",IF(E33="CNY",1,IF(E33="JPY",'说明与目标'!$B$10,"")))</x:f>
      </x:c>
      <x:c r="H33" s="229" t="str">
        <x:f>IF(A33="","",F33*G33)</x:f>
      </x:c>
      <x:c r="I33" s="228"/>
      <x:c r="J33" s="224"/>
      <x:c r="K33" s="228"/>
      <x:c r="L33" s="228"/>
      <x:c r="M33" s="230" t="str">
        <x:f>IF(A33="","",H33-I33-J33*K33-L33)</x:f>
      </x:c>
      <x:c r="N33" s="231" t="str">
        <x:f>IFERROR(M33/H33,"")</x:f>
      </x:c>
      <x:c r="O33" s="232"/>
      <x:c r="P33" s="230" t="str">
        <x:f>IF(A33="","",H33*O33)</x:f>
      </x:c>
      <x:c r="Q33" s="225"/>
      <x:c r="R33" s="225"/>
      <x:c r="S33" s="224"/>
      <x:c r="T33" s="226"/>
      <x:c r="U33" s="83"/>
      <x:c r="V33" s="83" t="str">
        <x:f>IF(A33="","",IF(U33="","阻断：缺服务编号",IF(OR(I33="",J33="",K33="",L33="",O33=""),"阻断：成本/工时/订金未填",IF(P33&lt;I33+L33,"阻断：订金不足以覆盖全部现金成本",IF(N33&lt;0.5,"阻断：经济贡献率低于50%",IF(IFERROR((H33-I33-L33)/H33,0)&lt;IFERROR(XLOOKUP(U33,'服务测试'!$A$5:$A$13,'服务测试'!$J$5:$J$13),1),"阻断：现金贡献率低于服务目标",IFERROR(IF(AND(OR(XLOOKUP(U33,'服务测试'!$A$5:$A$13,'服务测试'!$D$5:$D$13)="付费测试已批准",XLOOKUP(U33,'服务测试'!$A$5:$A$13,'服务测试'!$D$5:$D$13)="已验证"),XLOOKUP(U33,'服务测试'!$A$5:$A$13,'服务测试'!$S$5:$S$13)="已批准",XLOOKUP(U33,'服务测试'!$A$5:$A$13,'服务测试'!$T$5:$T$13)&lt;&gt;"",XLOOKUP(U33,'服务测试'!$A$5:$A$13,'服务测试'!$U$5:$U$13)&lt;&gt;"未知"),"可报价","阻断：服务硬门或成本未过"),"阻断：服务编号不存在")))))))</x:f>
      </x:c>
    </x:row>
    <x:row r="34">
      <x:c r="A34" s="224"/>
      <x:c r="B34" s="224"/>
      <x:c r="C34" s="225"/>
      <x:c r="D34" s="226"/>
      <x:c r="E34" s="224"/>
      <x:c r="F34" s="228"/>
      <x:c r="G34" s="229" t="str">
        <x:f>IF(A34="","",IF(E34="CNY",1,IF(E34="JPY",'说明与目标'!$B$10,"")))</x:f>
      </x:c>
      <x:c r="H34" s="229" t="str">
        <x:f>IF(A34="","",F34*G34)</x:f>
      </x:c>
      <x:c r="I34" s="228"/>
      <x:c r="J34" s="224"/>
      <x:c r="K34" s="228"/>
      <x:c r="L34" s="228"/>
      <x:c r="M34" s="230" t="str">
        <x:f>IF(A34="","",H34-I34-J34*K34-L34)</x:f>
      </x:c>
      <x:c r="N34" s="231" t="str">
        <x:f>IFERROR(M34/H34,"")</x:f>
      </x:c>
      <x:c r="O34" s="232"/>
      <x:c r="P34" s="230" t="str">
        <x:f>IF(A34="","",H34*O34)</x:f>
      </x:c>
      <x:c r="Q34" s="225"/>
      <x:c r="R34" s="225"/>
      <x:c r="S34" s="224"/>
      <x:c r="T34" s="226"/>
      <x:c r="U34" s="83"/>
      <x:c r="V34" s="83" t="str">
        <x:f>IF(A34="","",IF(U34="","阻断：缺服务编号",IF(OR(I34="",J34="",K34="",L34="",O34=""),"阻断：成本/工时/订金未填",IF(P34&lt;I34+L34,"阻断：订金不足以覆盖全部现金成本",IF(N34&lt;0.5,"阻断：经济贡献率低于50%",IF(IFERROR((H34-I34-L34)/H34,0)&lt;IFERROR(XLOOKUP(U34,'服务测试'!$A$5:$A$13,'服务测试'!$J$5:$J$13),1),"阻断：现金贡献率低于服务目标",IFERROR(IF(AND(OR(XLOOKUP(U34,'服务测试'!$A$5:$A$13,'服务测试'!$D$5:$D$13)="付费测试已批准",XLOOKUP(U34,'服务测试'!$A$5:$A$13,'服务测试'!$D$5:$D$13)="已验证"),XLOOKUP(U34,'服务测试'!$A$5:$A$13,'服务测试'!$S$5:$S$13)="已批准",XLOOKUP(U34,'服务测试'!$A$5:$A$13,'服务测试'!$T$5:$T$13)&lt;&gt;"",XLOOKUP(U34,'服务测试'!$A$5:$A$13,'服务测试'!$U$5:$U$13)&lt;&gt;"未知"),"可报价","阻断：服务硬门或成本未过"),"阻断：服务编号不存在")))))))</x:f>
      </x:c>
    </x:row>
    <x:row r="35">
      <x:c r="A35" s="224"/>
      <x:c r="B35" s="224"/>
      <x:c r="C35" s="225"/>
      <x:c r="D35" s="226"/>
      <x:c r="E35" s="224"/>
      <x:c r="F35" s="228"/>
      <x:c r="G35" s="229" t="str">
        <x:f>IF(A35="","",IF(E35="CNY",1,IF(E35="JPY",'说明与目标'!$B$10,"")))</x:f>
      </x:c>
      <x:c r="H35" s="229" t="str">
        <x:f>IF(A35="","",F35*G35)</x:f>
      </x:c>
      <x:c r="I35" s="228"/>
      <x:c r="J35" s="224"/>
      <x:c r="K35" s="228"/>
      <x:c r="L35" s="228"/>
      <x:c r="M35" s="230" t="str">
        <x:f>IF(A35="","",H35-I35-J35*K35-L35)</x:f>
      </x:c>
      <x:c r="N35" s="231" t="str">
        <x:f>IFERROR(M35/H35,"")</x:f>
      </x:c>
      <x:c r="O35" s="232"/>
      <x:c r="P35" s="230" t="str">
        <x:f>IF(A35="","",H35*O35)</x:f>
      </x:c>
      <x:c r="Q35" s="225"/>
      <x:c r="R35" s="225"/>
      <x:c r="S35" s="224"/>
      <x:c r="T35" s="226"/>
      <x:c r="U35" s="83"/>
      <x:c r="V35" s="83" t="str">
        <x:f>IF(A35="","",IF(U35="","阻断：缺服务编号",IF(OR(I35="",J35="",K35="",L35="",O35=""),"阻断：成本/工时/订金未填",IF(P35&lt;I35+L35,"阻断：订金不足以覆盖全部现金成本",IF(N35&lt;0.5,"阻断：经济贡献率低于50%",IF(IFERROR((H35-I35-L35)/H35,0)&lt;IFERROR(XLOOKUP(U35,'服务测试'!$A$5:$A$13,'服务测试'!$J$5:$J$13),1),"阻断：现金贡献率低于服务目标",IFERROR(IF(AND(OR(XLOOKUP(U35,'服务测试'!$A$5:$A$13,'服务测试'!$D$5:$D$13)="付费测试已批准",XLOOKUP(U35,'服务测试'!$A$5:$A$13,'服务测试'!$D$5:$D$13)="已验证"),XLOOKUP(U35,'服务测试'!$A$5:$A$13,'服务测试'!$S$5:$S$13)="已批准",XLOOKUP(U35,'服务测试'!$A$5:$A$13,'服务测试'!$T$5:$T$13)&lt;&gt;"",XLOOKUP(U35,'服务测试'!$A$5:$A$13,'服务测试'!$U$5:$U$13)&lt;&gt;"未知"),"可报价","阻断：服务硬门或成本未过"),"阻断：服务编号不存在")))))))</x:f>
      </x:c>
    </x:row>
    <x:row r="36">
      <x:c r="A36" s="224"/>
      <x:c r="B36" s="224"/>
      <x:c r="C36" s="225"/>
      <x:c r="D36" s="226"/>
      <x:c r="E36" s="224"/>
      <x:c r="F36" s="228"/>
      <x:c r="G36" s="229" t="str">
        <x:f>IF(A36="","",IF(E36="CNY",1,IF(E36="JPY",'说明与目标'!$B$10,"")))</x:f>
      </x:c>
      <x:c r="H36" s="229" t="str">
        <x:f>IF(A36="","",F36*G36)</x:f>
      </x:c>
      <x:c r="I36" s="228"/>
      <x:c r="J36" s="224"/>
      <x:c r="K36" s="228"/>
      <x:c r="L36" s="228"/>
      <x:c r="M36" s="230" t="str">
        <x:f>IF(A36="","",H36-I36-J36*K36-L36)</x:f>
      </x:c>
      <x:c r="N36" s="231" t="str">
        <x:f>IFERROR(M36/H36,"")</x:f>
      </x:c>
      <x:c r="O36" s="232"/>
      <x:c r="P36" s="230" t="str">
        <x:f>IF(A36="","",H36*O36)</x:f>
      </x:c>
      <x:c r="Q36" s="225"/>
      <x:c r="R36" s="225"/>
      <x:c r="S36" s="224"/>
      <x:c r="T36" s="226"/>
      <x:c r="U36" s="83"/>
      <x:c r="V36" s="83" t="str">
        <x:f>IF(A36="","",IF(U36="","阻断：缺服务编号",IF(OR(I36="",J36="",K36="",L36="",O36=""),"阻断：成本/工时/订金未填",IF(P36&lt;I36+L36,"阻断：订金不足以覆盖全部现金成本",IF(N36&lt;0.5,"阻断：经济贡献率低于50%",IF(IFERROR((H36-I36-L36)/H36,0)&lt;IFERROR(XLOOKUP(U36,'服务测试'!$A$5:$A$13,'服务测试'!$J$5:$J$13),1),"阻断：现金贡献率低于服务目标",IFERROR(IF(AND(OR(XLOOKUP(U36,'服务测试'!$A$5:$A$13,'服务测试'!$D$5:$D$13)="付费测试已批准",XLOOKUP(U36,'服务测试'!$A$5:$A$13,'服务测试'!$D$5:$D$13)="已验证"),XLOOKUP(U36,'服务测试'!$A$5:$A$13,'服务测试'!$S$5:$S$13)="已批准",XLOOKUP(U36,'服务测试'!$A$5:$A$13,'服务测试'!$T$5:$T$13)&lt;&gt;"",XLOOKUP(U36,'服务测试'!$A$5:$A$13,'服务测试'!$U$5:$U$13)&lt;&gt;"未知"),"可报价","阻断：服务硬门或成本未过"),"阻断：服务编号不存在")))))))</x:f>
      </x:c>
    </x:row>
    <x:row r="37">
      <x:c r="A37" s="224"/>
      <x:c r="B37" s="224"/>
      <x:c r="C37" s="225"/>
      <x:c r="D37" s="226"/>
      <x:c r="E37" s="224"/>
      <x:c r="F37" s="228"/>
      <x:c r="G37" s="229" t="str">
        <x:f>IF(A37="","",IF(E37="CNY",1,IF(E37="JPY",'说明与目标'!$B$10,"")))</x:f>
      </x:c>
      <x:c r="H37" s="229" t="str">
        <x:f>IF(A37="","",F37*G37)</x:f>
      </x:c>
      <x:c r="I37" s="228"/>
      <x:c r="J37" s="224"/>
      <x:c r="K37" s="228"/>
      <x:c r="L37" s="228"/>
      <x:c r="M37" s="230" t="str">
        <x:f>IF(A37="","",H37-I37-J37*K37-L37)</x:f>
      </x:c>
      <x:c r="N37" s="231" t="str">
        <x:f>IFERROR(M37/H37,"")</x:f>
      </x:c>
      <x:c r="O37" s="232"/>
      <x:c r="P37" s="230" t="str">
        <x:f>IF(A37="","",H37*O37)</x:f>
      </x:c>
      <x:c r="Q37" s="225"/>
      <x:c r="R37" s="225"/>
      <x:c r="S37" s="224"/>
      <x:c r="T37" s="226"/>
      <x:c r="U37" s="83"/>
      <x:c r="V37" s="83" t="str">
        <x:f>IF(A37="","",IF(U37="","阻断：缺服务编号",IF(OR(I37="",J37="",K37="",L37="",O37=""),"阻断：成本/工时/订金未填",IF(P37&lt;I37+L37,"阻断：订金不足以覆盖全部现金成本",IF(N37&lt;0.5,"阻断：经济贡献率低于50%",IF(IFERROR((H37-I37-L37)/H37,0)&lt;IFERROR(XLOOKUP(U37,'服务测试'!$A$5:$A$13,'服务测试'!$J$5:$J$13),1),"阻断：现金贡献率低于服务目标",IFERROR(IF(AND(OR(XLOOKUP(U37,'服务测试'!$A$5:$A$13,'服务测试'!$D$5:$D$13)="付费测试已批准",XLOOKUP(U37,'服务测试'!$A$5:$A$13,'服务测试'!$D$5:$D$13)="已验证"),XLOOKUP(U37,'服务测试'!$A$5:$A$13,'服务测试'!$S$5:$S$13)="已批准",XLOOKUP(U37,'服务测试'!$A$5:$A$13,'服务测试'!$T$5:$T$13)&lt;&gt;"",XLOOKUP(U37,'服务测试'!$A$5:$A$13,'服务测试'!$U$5:$U$13)&lt;&gt;"未知"),"可报价","阻断：服务硬门或成本未过"),"阻断：服务编号不存在")))))))</x:f>
      </x:c>
    </x:row>
    <x:row r="38">
      <x:c r="A38" s="224"/>
      <x:c r="B38" s="224"/>
      <x:c r="C38" s="225"/>
      <x:c r="D38" s="226"/>
      <x:c r="E38" s="224"/>
      <x:c r="F38" s="228"/>
      <x:c r="G38" s="229" t="str">
        <x:f>IF(A38="","",IF(E38="CNY",1,IF(E38="JPY",'说明与目标'!$B$10,"")))</x:f>
      </x:c>
      <x:c r="H38" s="229" t="str">
        <x:f>IF(A38="","",F38*G38)</x:f>
      </x:c>
      <x:c r="I38" s="228"/>
      <x:c r="J38" s="224"/>
      <x:c r="K38" s="228"/>
      <x:c r="L38" s="228"/>
      <x:c r="M38" s="230" t="str">
        <x:f>IF(A38="","",H38-I38-J38*K38-L38)</x:f>
      </x:c>
      <x:c r="N38" s="231" t="str">
        <x:f>IFERROR(M38/H38,"")</x:f>
      </x:c>
      <x:c r="O38" s="232"/>
      <x:c r="P38" s="230" t="str">
        <x:f>IF(A38="","",H38*O38)</x:f>
      </x:c>
      <x:c r="Q38" s="225"/>
      <x:c r="R38" s="225"/>
      <x:c r="S38" s="224"/>
      <x:c r="T38" s="226"/>
      <x:c r="U38" s="83"/>
      <x:c r="V38" s="83" t="str">
        <x:f>IF(A38="","",IF(U38="","阻断：缺服务编号",IF(OR(I38="",J38="",K38="",L38="",O38=""),"阻断：成本/工时/订金未填",IF(P38&lt;I38+L38,"阻断：订金不足以覆盖全部现金成本",IF(N38&lt;0.5,"阻断：经济贡献率低于50%",IF(IFERROR((H38-I38-L38)/H38,0)&lt;IFERROR(XLOOKUP(U38,'服务测试'!$A$5:$A$13,'服务测试'!$J$5:$J$13),1),"阻断：现金贡献率低于服务目标",IFERROR(IF(AND(OR(XLOOKUP(U38,'服务测试'!$A$5:$A$13,'服务测试'!$D$5:$D$13)="付费测试已批准",XLOOKUP(U38,'服务测试'!$A$5:$A$13,'服务测试'!$D$5:$D$13)="已验证"),XLOOKUP(U38,'服务测试'!$A$5:$A$13,'服务测试'!$S$5:$S$13)="已批准",XLOOKUP(U38,'服务测试'!$A$5:$A$13,'服务测试'!$T$5:$T$13)&lt;&gt;"",XLOOKUP(U38,'服务测试'!$A$5:$A$13,'服务测试'!$U$5:$U$13)&lt;&gt;"未知"),"可报价","阻断：服务硬门或成本未过"),"阻断：服务编号不存在")))))))</x:f>
      </x:c>
    </x:row>
    <x:row r="39">
      <x:c r="A39" s="224"/>
      <x:c r="B39" s="224"/>
      <x:c r="C39" s="225"/>
      <x:c r="D39" s="226"/>
      <x:c r="E39" s="224"/>
      <x:c r="F39" s="228"/>
      <x:c r="G39" s="229" t="str">
        <x:f>IF(A39="","",IF(E39="CNY",1,IF(E39="JPY",'说明与目标'!$B$10,"")))</x:f>
      </x:c>
      <x:c r="H39" s="229" t="str">
        <x:f>IF(A39="","",F39*G39)</x:f>
      </x:c>
      <x:c r="I39" s="228"/>
      <x:c r="J39" s="224"/>
      <x:c r="K39" s="228"/>
      <x:c r="L39" s="228"/>
      <x:c r="M39" s="230" t="str">
        <x:f>IF(A39="","",H39-I39-J39*K39-L39)</x:f>
      </x:c>
      <x:c r="N39" s="231" t="str">
        <x:f>IFERROR(M39/H39,"")</x:f>
      </x:c>
      <x:c r="O39" s="232"/>
      <x:c r="P39" s="230" t="str">
        <x:f>IF(A39="","",H39*O39)</x:f>
      </x:c>
      <x:c r="Q39" s="225"/>
      <x:c r="R39" s="225"/>
      <x:c r="S39" s="224"/>
      <x:c r="T39" s="226"/>
      <x:c r="U39" s="83"/>
      <x:c r="V39" s="83" t="str">
        <x:f>IF(A39="","",IF(U39="","阻断：缺服务编号",IF(OR(I39="",J39="",K39="",L39="",O39=""),"阻断：成本/工时/订金未填",IF(P39&lt;I39+L39,"阻断：订金不足以覆盖全部现金成本",IF(N39&lt;0.5,"阻断：经济贡献率低于50%",IF(IFERROR((H39-I39-L39)/H39,0)&lt;IFERROR(XLOOKUP(U39,'服务测试'!$A$5:$A$13,'服务测试'!$J$5:$J$13),1),"阻断：现金贡献率低于服务目标",IFERROR(IF(AND(OR(XLOOKUP(U39,'服务测试'!$A$5:$A$13,'服务测试'!$D$5:$D$13)="付费测试已批准",XLOOKUP(U39,'服务测试'!$A$5:$A$13,'服务测试'!$D$5:$D$13)="已验证"),XLOOKUP(U39,'服务测试'!$A$5:$A$13,'服务测试'!$S$5:$S$13)="已批准",XLOOKUP(U39,'服务测试'!$A$5:$A$13,'服务测试'!$T$5:$T$13)&lt;&gt;"",XLOOKUP(U39,'服务测试'!$A$5:$A$13,'服务测试'!$U$5:$U$13)&lt;&gt;"未知"),"可报价","阻断：服务硬门或成本未过"),"阻断：服务编号不存在")))))))</x:f>
      </x:c>
    </x:row>
    <x:row r="40">
      <x:c r="A40" s="224"/>
      <x:c r="B40" s="224"/>
      <x:c r="C40" s="225"/>
      <x:c r="D40" s="226"/>
      <x:c r="E40" s="224"/>
      <x:c r="F40" s="228"/>
      <x:c r="G40" s="229" t="str">
        <x:f>IF(A40="","",IF(E40="CNY",1,IF(E40="JPY",'说明与目标'!$B$10,"")))</x:f>
      </x:c>
      <x:c r="H40" s="229" t="str">
        <x:f>IF(A40="","",F40*G40)</x:f>
      </x:c>
      <x:c r="I40" s="228"/>
      <x:c r="J40" s="224"/>
      <x:c r="K40" s="228"/>
      <x:c r="L40" s="228"/>
      <x:c r="M40" s="230" t="str">
        <x:f>IF(A40="","",H40-I40-J40*K40-L40)</x:f>
      </x:c>
      <x:c r="N40" s="231" t="str">
        <x:f>IFERROR(M40/H40,"")</x:f>
      </x:c>
      <x:c r="O40" s="232"/>
      <x:c r="P40" s="230" t="str">
        <x:f>IF(A40="","",H40*O40)</x:f>
      </x:c>
      <x:c r="Q40" s="225"/>
      <x:c r="R40" s="225"/>
      <x:c r="S40" s="224"/>
      <x:c r="T40" s="226"/>
      <x:c r="U40" s="83"/>
      <x:c r="V40" s="83" t="str">
        <x:f>IF(A40="","",IF(U40="","阻断：缺服务编号",IF(OR(I40="",J40="",K40="",L40="",O40=""),"阻断：成本/工时/订金未填",IF(P40&lt;I40+L40,"阻断：订金不足以覆盖全部现金成本",IF(N40&lt;0.5,"阻断：经济贡献率低于50%",IF(IFERROR((H40-I40-L40)/H40,0)&lt;IFERROR(XLOOKUP(U40,'服务测试'!$A$5:$A$13,'服务测试'!$J$5:$J$13),1),"阻断：现金贡献率低于服务目标",IFERROR(IF(AND(OR(XLOOKUP(U40,'服务测试'!$A$5:$A$13,'服务测试'!$D$5:$D$13)="付费测试已批准",XLOOKUP(U40,'服务测试'!$A$5:$A$13,'服务测试'!$D$5:$D$13)="已验证"),XLOOKUP(U40,'服务测试'!$A$5:$A$13,'服务测试'!$S$5:$S$13)="已批准",XLOOKUP(U40,'服务测试'!$A$5:$A$13,'服务测试'!$T$5:$T$13)&lt;&gt;"",XLOOKUP(U40,'服务测试'!$A$5:$A$13,'服务测试'!$U$5:$U$13)&lt;&gt;"未知"),"可报价","阻断：服务硬门或成本未过"),"阻断：服务编号不存在")))))))</x:f>
      </x:c>
    </x:row>
    <x:row r="41">
      <x:c r="A41" s="224"/>
      <x:c r="B41" s="224"/>
      <x:c r="C41" s="225"/>
      <x:c r="D41" s="226"/>
      <x:c r="E41" s="224"/>
      <x:c r="F41" s="228"/>
      <x:c r="G41" s="229" t="str">
        <x:f>IF(A41="","",IF(E41="CNY",1,IF(E41="JPY",'说明与目标'!$B$10,"")))</x:f>
      </x:c>
      <x:c r="H41" s="229" t="str">
        <x:f>IF(A41="","",F41*G41)</x:f>
      </x:c>
      <x:c r="I41" s="228"/>
      <x:c r="J41" s="224"/>
      <x:c r="K41" s="228"/>
      <x:c r="L41" s="228"/>
      <x:c r="M41" s="230" t="str">
        <x:f>IF(A41="","",H41-I41-J41*K41-L41)</x:f>
      </x:c>
      <x:c r="N41" s="231" t="str">
        <x:f>IFERROR(M41/H41,"")</x:f>
      </x:c>
      <x:c r="O41" s="232"/>
      <x:c r="P41" s="230" t="str">
        <x:f>IF(A41="","",H41*O41)</x:f>
      </x:c>
      <x:c r="Q41" s="225"/>
      <x:c r="R41" s="225"/>
      <x:c r="S41" s="224"/>
      <x:c r="T41" s="226"/>
      <x:c r="U41" s="83"/>
      <x:c r="V41" s="83" t="str">
        <x:f>IF(A41="","",IF(U41="","阻断：缺服务编号",IF(OR(I41="",J41="",K41="",L41="",O41=""),"阻断：成本/工时/订金未填",IF(P41&lt;I41+L41,"阻断：订金不足以覆盖全部现金成本",IF(N41&lt;0.5,"阻断：经济贡献率低于50%",IF(IFERROR((H41-I41-L41)/H41,0)&lt;IFERROR(XLOOKUP(U41,'服务测试'!$A$5:$A$13,'服务测试'!$J$5:$J$13),1),"阻断：现金贡献率低于服务目标",IFERROR(IF(AND(OR(XLOOKUP(U41,'服务测试'!$A$5:$A$13,'服务测试'!$D$5:$D$13)="付费测试已批准",XLOOKUP(U41,'服务测试'!$A$5:$A$13,'服务测试'!$D$5:$D$13)="已验证"),XLOOKUP(U41,'服务测试'!$A$5:$A$13,'服务测试'!$S$5:$S$13)="已批准",XLOOKUP(U41,'服务测试'!$A$5:$A$13,'服务测试'!$T$5:$T$13)&lt;&gt;"",XLOOKUP(U41,'服务测试'!$A$5:$A$13,'服务测试'!$U$5:$U$13)&lt;&gt;"未知"),"可报价","阻断：服务硬门或成本未过"),"阻断：服务编号不存在")))))))</x:f>
      </x:c>
    </x:row>
    <x:row r="42">
      <x:c r="A42" s="224"/>
      <x:c r="B42" s="224"/>
      <x:c r="C42" s="225"/>
      <x:c r="D42" s="226"/>
      <x:c r="E42" s="224"/>
      <x:c r="F42" s="228"/>
      <x:c r="G42" s="229" t="str">
        <x:f>IF(A42="","",IF(E42="CNY",1,IF(E42="JPY",'说明与目标'!$B$10,"")))</x:f>
      </x:c>
      <x:c r="H42" s="229" t="str">
        <x:f>IF(A42="","",F42*G42)</x:f>
      </x:c>
      <x:c r="I42" s="228"/>
      <x:c r="J42" s="224"/>
      <x:c r="K42" s="228"/>
      <x:c r="L42" s="228"/>
      <x:c r="M42" s="230" t="str">
        <x:f>IF(A42="","",H42-I42-J42*K42-L42)</x:f>
      </x:c>
      <x:c r="N42" s="231" t="str">
        <x:f>IFERROR(M42/H42,"")</x:f>
      </x:c>
      <x:c r="O42" s="232"/>
      <x:c r="P42" s="230" t="str">
        <x:f>IF(A42="","",H42*O42)</x:f>
      </x:c>
      <x:c r="Q42" s="225"/>
      <x:c r="R42" s="225"/>
      <x:c r="S42" s="224"/>
      <x:c r="T42" s="226"/>
      <x:c r="U42" s="83"/>
      <x:c r="V42" s="83" t="str">
        <x:f>IF(A42="","",IF(U42="","阻断：缺服务编号",IF(OR(I42="",J42="",K42="",L42="",O42=""),"阻断：成本/工时/订金未填",IF(P42&lt;I42+L42,"阻断：订金不足以覆盖全部现金成本",IF(N42&lt;0.5,"阻断：经济贡献率低于50%",IF(IFERROR((H42-I42-L42)/H42,0)&lt;IFERROR(XLOOKUP(U42,'服务测试'!$A$5:$A$13,'服务测试'!$J$5:$J$13),1),"阻断：现金贡献率低于服务目标",IFERROR(IF(AND(OR(XLOOKUP(U42,'服务测试'!$A$5:$A$13,'服务测试'!$D$5:$D$13)="付费测试已批准",XLOOKUP(U42,'服务测试'!$A$5:$A$13,'服务测试'!$D$5:$D$13)="已验证"),XLOOKUP(U42,'服务测试'!$A$5:$A$13,'服务测试'!$S$5:$S$13)="已批准",XLOOKUP(U42,'服务测试'!$A$5:$A$13,'服务测试'!$T$5:$T$13)&lt;&gt;"",XLOOKUP(U42,'服务测试'!$A$5:$A$13,'服务测试'!$U$5:$U$13)&lt;&gt;"未知"),"可报价","阻断：服务硬门或成本未过"),"阻断：服务编号不存在")))))))</x:f>
      </x:c>
    </x:row>
    <x:row r="43">
      <x:c r="A43" s="224"/>
      <x:c r="B43" s="224"/>
      <x:c r="C43" s="225"/>
      <x:c r="D43" s="226"/>
      <x:c r="E43" s="224"/>
      <x:c r="F43" s="228"/>
      <x:c r="G43" s="229" t="str">
        <x:f>IF(A43="","",IF(E43="CNY",1,IF(E43="JPY",'说明与目标'!$B$10,"")))</x:f>
      </x:c>
      <x:c r="H43" s="229" t="str">
        <x:f>IF(A43="","",F43*G43)</x:f>
      </x:c>
      <x:c r="I43" s="228"/>
      <x:c r="J43" s="224"/>
      <x:c r="K43" s="228"/>
      <x:c r="L43" s="228"/>
      <x:c r="M43" s="230" t="str">
        <x:f>IF(A43="","",H43-I43-J43*K43-L43)</x:f>
      </x:c>
      <x:c r="N43" s="231" t="str">
        <x:f>IFERROR(M43/H43,"")</x:f>
      </x:c>
      <x:c r="O43" s="232"/>
      <x:c r="P43" s="230" t="str">
        <x:f>IF(A43="","",H43*O43)</x:f>
      </x:c>
      <x:c r="Q43" s="225"/>
      <x:c r="R43" s="225"/>
      <x:c r="S43" s="224"/>
      <x:c r="T43" s="226"/>
      <x:c r="U43" s="83"/>
      <x:c r="V43" s="83" t="str">
        <x:f>IF(A43="","",IF(U43="","阻断：缺服务编号",IF(OR(I43="",J43="",K43="",L43="",O43=""),"阻断：成本/工时/订金未填",IF(P43&lt;I43+L43,"阻断：订金不足以覆盖全部现金成本",IF(N43&lt;0.5,"阻断：经济贡献率低于50%",IF(IFERROR((H43-I43-L43)/H43,0)&lt;IFERROR(XLOOKUP(U43,'服务测试'!$A$5:$A$13,'服务测试'!$J$5:$J$13),1),"阻断：现金贡献率低于服务目标",IFERROR(IF(AND(OR(XLOOKUP(U43,'服务测试'!$A$5:$A$13,'服务测试'!$D$5:$D$13)="付费测试已批准",XLOOKUP(U43,'服务测试'!$A$5:$A$13,'服务测试'!$D$5:$D$13)="已验证"),XLOOKUP(U43,'服务测试'!$A$5:$A$13,'服务测试'!$S$5:$S$13)="已批准",XLOOKUP(U43,'服务测试'!$A$5:$A$13,'服务测试'!$T$5:$T$13)&lt;&gt;"",XLOOKUP(U43,'服务测试'!$A$5:$A$13,'服务测试'!$U$5:$U$13)&lt;&gt;"未知"),"可报价","阻断：服务硬门或成本未过"),"阻断：服务编号不存在")))))))</x:f>
      </x:c>
    </x:row>
    <x:row r="44">
      <x:c r="A44" s="224"/>
      <x:c r="B44" s="224"/>
      <x:c r="C44" s="225"/>
      <x:c r="D44" s="226"/>
      <x:c r="E44" s="224"/>
      <x:c r="F44" s="228"/>
      <x:c r="G44" s="229" t="str">
        <x:f>IF(A44="","",IF(E44="CNY",1,IF(E44="JPY",'说明与目标'!$B$10,"")))</x:f>
      </x:c>
      <x:c r="H44" s="229" t="str">
        <x:f>IF(A44="","",F44*G44)</x:f>
      </x:c>
      <x:c r="I44" s="228"/>
      <x:c r="J44" s="224"/>
      <x:c r="K44" s="228"/>
      <x:c r="L44" s="228"/>
      <x:c r="M44" s="230" t="str">
        <x:f>IF(A44="","",H44-I44-J44*K44-L44)</x:f>
      </x:c>
      <x:c r="N44" s="231" t="str">
        <x:f>IFERROR(M44/H44,"")</x:f>
      </x:c>
      <x:c r="O44" s="232"/>
      <x:c r="P44" s="230" t="str">
        <x:f>IF(A44="","",H44*O44)</x:f>
      </x:c>
      <x:c r="Q44" s="225"/>
      <x:c r="R44" s="225"/>
      <x:c r="S44" s="224"/>
      <x:c r="T44" s="226"/>
      <x:c r="U44" s="83"/>
      <x:c r="V44" s="83" t="str">
        <x:f>IF(A44="","",IF(U44="","阻断：缺服务编号",IF(OR(I44="",J44="",K44="",L44="",O44=""),"阻断：成本/工时/订金未填",IF(P44&lt;I44+L44,"阻断：订金不足以覆盖全部现金成本",IF(N44&lt;0.5,"阻断：经济贡献率低于50%",IF(IFERROR((H44-I44-L44)/H44,0)&lt;IFERROR(XLOOKUP(U44,'服务测试'!$A$5:$A$13,'服务测试'!$J$5:$J$13),1),"阻断：现金贡献率低于服务目标",IFERROR(IF(AND(OR(XLOOKUP(U44,'服务测试'!$A$5:$A$13,'服务测试'!$D$5:$D$13)="付费测试已批准",XLOOKUP(U44,'服务测试'!$A$5:$A$13,'服务测试'!$D$5:$D$13)="已验证"),XLOOKUP(U44,'服务测试'!$A$5:$A$13,'服务测试'!$S$5:$S$13)="已批准",XLOOKUP(U44,'服务测试'!$A$5:$A$13,'服务测试'!$T$5:$T$13)&lt;&gt;"",XLOOKUP(U44,'服务测试'!$A$5:$A$13,'服务测试'!$U$5:$U$13)&lt;&gt;"未知"),"可报价","阻断：服务硬门或成本未过"),"阻断：服务编号不存在")))))))</x:f>
      </x:c>
    </x:row>
    <x:row r="45">
      <x:c r="A45" s="224"/>
      <x:c r="B45" s="224"/>
      <x:c r="C45" s="225"/>
      <x:c r="D45" s="226"/>
      <x:c r="E45" s="224"/>
      <x:c r="F45" s="228"/>
      <x:c r="G45" s="229" t="str">
        <x:f>IF(A45="","",IF(E45="CNY",1,IF(E45="JPY",'说明与目标'!$B$10,"")))</x:f>
      </x:c>
      <x:c r="H45" s="229" t="str">
        <x:f>IF(A45="","",F45*G45)</x:f>
      </x:c>
      <x:c r="I45" s="228"/>
      <x:c r="J45" s="224"/>
      <x:c r="K45" s="228"/>
      <x:c r="L45" s="228"/>
      <x:c r="M45" s="230" t="str">
        <x:f>IF(A45="","",H45-I45-J45*K45-L45)</x:f>
      </x:c>
      <x:c r="N45" s="231" t="str">
        <x:f>IFERROR(M45/H45,"")</x:f>
      </x:c>
      <x:c r="O45" s="232"/>
      <x:c r="P45" s="230" t="str">
        <x:f>IF(A45="","",H45*O45)</x:f>
      </x:c>
      <x:c r="Q45" s="225"/>
      <x:c r="R45" s="225"/>
      <x:c r="S45" s="224"/>
      <x:c r="T45" s="226"/>
      <x:c r="U45" s="83"/>
      <x:c r="V45" s="83" t="str">
        <x:f>IF(A45="","",IF(U45="","阻断：缺服务编号",IF(OR(I45="",J45="",K45="",L45="",O45=""),"阻断：成本/工时/订金未填",IF(P45&lt;I45+L45,"阻断：订金不足以覆盖全部现金成本",IF(N45&lt;0.5,"阻断：经济贡献率低于50%",IF(IFERROR((H45-I45-L45)/H45,0)&lt;IFERROR(XLOOKUP(U45,'服务测试'!$A$5:$A$13,'服务测试'!$J$5:$J$13),1),"阻断：现金贡献率低于服务目标",IFERROR(IF(AND(OR(XLOOKUP(U45,'服务测试'!$A$5:$A$13,'服务测试'!$D$5:$D$13)="付费测试已批准",XLOOKUP(U45,'服务测试'!$A$5:$A$13,'服务测试'!$D$5:$D$13)="已验证"),XLOOKUP(U45,'服务测试'!$A$5:$A$13,'服务测试'!$S$5:$S$13)="已批准",XLOOKUP(U45,'服务测试'!$A$5:$A$13,'服务测试'!$T$5:$T$13)&lt;&gt;"",XLOOKUP(U45,'服务测试'!$A$5:$A$13,'服务测试'!$U$5:$U$13)&lt;&gt;"未知"),"可报价","阻断：服务硬门或成本未过"),"阻断：服务编号不存在")))))))</x:f>
      </x:c>
    </x:row>
    <x:row r="46">
      <x:c r="A46" s="224"/>
      <x:c r="B46" s="224"/>
      <x:c r="C46" s="225"/>
      <x:c r="D46" s="226"/>
      <x:c r="E46" s="224"/>
      <x:c r="F46" s="228"/>
      <x:c r="G46" s="229" t="str">
        <x:f>IF(A46="","",IF(E46="CNY",1,IF(E46="JPY",'说明与目标'!$B$10,"")))</x:f>
      </x:c>
      <x:c r="H46" s="229" t="str">
        <x:f>IF(A46="","",F46*G46)</x:f>
      </x:c>
      <x:c r="I46" s="228"/>
      <x:c r="J46" s="224"/>
      <x:c r="K46" s="228"/>
      <x:c r="L46" s="228"/>
      <x:c r="M46" s="230" t="str">
        <x:f>IF(A46="","",H46-I46-J46*K46-L46)</x:f>
      </x:c>
      <x:c r="N46" s="231" t="str">
        <x:f>IFERROR(M46/H46,"")</x:f>
      </x:c>
      <x:c r="O46" s="232"/>
      <x:c r="P46" s="230" t="str">
        <x:f>IF(A46="","",H46*O46)</x:f>
      </x:c>
      <x:c r="Q46" s="225"/>
      <x:c r="R46" s="225"/>
      <x:c r="S46" s="224"/>
      <x:c r="T46" s="226"/>
      <x:c r="U46" s="83"/>
      <x:c r="V46" s="83" t="str">
        <x:f>IF(A46="","",IF(U46="","阻断：缺服务编号",IF(OR(I46="",J46="",K46="",L46="",O46=""),"阻断：成本/工时/订金未填",IF(P46&lt;I46+L46,"阻断：订金不足以覆盖全部现金成本",IF(N46&lt;0.5,"阻断：经济贡献率低于50%",IF(IFERROR((H46-I46-L46)/H46,0)&lt;IFERROR(XLOOKUP(U46,'服务测试'!$A$5:$A$13,'服务测试'!$J$5:$J$13),1),"阻断：现金贡献率低于服务目标",IFERROR(IF(AND(OR(XLOOKUP(U46,'服务测试'!$A$5:$A$13,'服务测试'!$D$5:$D$13)="付费测试已批准",XLOOKUP(U46,'服务测试'!$A$5:$A$13,'服务测试'!$D$5:$D$13)="已验证"),XLOOKUP(U46,'服务测试'!$A$5:$A$13,'服务测试'!$S$5:$S$13)="已批准",XLOOKUP(U46,'服务测试'!$A$5:$A$13,'服务测试'!$T$5:$T$13)&lt;&gt;"",XLOOKUP(U46,'服务测试'!$A$5:$A$13,'服务测试'!$U$5:$U$13)&lt;&gt;"未知"),"可报价","阻断：服务硬门或成本未过"),"阻断：服务编号不存在")))))))</x:f>
      </x:c>
    </x:row>
    <x:row r="47">
      <x:c r="A47" s="224"/>
      <x:c r="B47" s="224"/>
      <x:c r="C47" s="225"/>
      <x:c r="D47" s="226"/>
      <x:c r="E47" s="224"/>
      <x:c r="F47" s="228"/>
      <x:c r="G47" s="229" t="str">
        <x:f>IF(A47="","",IF(E47="CNY",1,IF(E47="JPY",'说明与目标'!$B$10,"")))</x:f>
      </x:c>
      <x:c r="H47" s="229" t="str">
        <x:f>IF(A47="","",F47*G47)</x:f>
      </x:c>
      <x:c r="I47" s="228"/>
      <x:c r="J47" s="224"/>
      <x:c r="K47" s="228"/>
      <x:c r="L47" s="228"/>
      <x:c r="M47" s="230" t="str">
        <x:f>IF(A47="","",H47-I47-J47*K47-L47)</x:f>
      </x:c>
      <x:c r="N47" s="231" t="str">
        <x:f>IFERROR(M47/H47,"")</x:f>
      </x:c>
      <x:c r="O47" s="232"/>
      <x:c r="P47" s="230" t="str">
        <x:f>IF(A47="","",H47*O47)</x:f>
      </x:c>
      <x:c r="Q47" s="225"/>
      <x:c r="R47" s="225"/>
      <x:c r="S47" s="224"/>
      <x:c r="T47" s="226"/>
      <x:c r="U47" s="83"/>
      <x:c r="V47" s="83" t="str">
        <x:f>IF(A47="","",IF(U47="","阻断：缺服务编号",IF(OR(I47="",J47="",K47="",L47="",O47=""),"阻断：成本/工时/订金未填",IF(P47&lt;I47+L47,"阻断：订金不足以覆盖全部现金成本",IF(N47&lt;0.5,"阻断：经济贡献率低于50%",IF(IFERROR((H47-I47-L47)/H47,0)&lt;IFERROR(XLOOKUP(U47,'服务测试'!$A$5:$A$13,'服务测试'!$J$5:$J$13),1),"阻断：现金贡献率低于服务目标",IFERROR(IF(AND(OR(XLOOKUP(U47,'服务测试'!$A$5:$A$13,'服务测试'!$D$5:$D$13)="付费测试已批准",XLOOKUP(U47,'服务测试'!$A$5:$A$13,'服务测试'!$D$5:$D$13)="已验证"),XLOOKUP(U47,'服务测试'!$A$5:$A$13,'服务测试'!$S$5:$S$13)="已批准",XLOOKUP(U47,'服务测试'!$A$5:$A$13,'服务测试'!$T$5:$T$13)&lt;&gt;"",XLOOKUP(U47,'服务测试'!$A$5:$A$13,'服务测试'!$U$5:$U$13)&lt;&gt;"未知"),"可报价","阻断：服务硬门或成本未过"),"阻断：服务编号不存在")))))))</x:f>
      </x:c>
    </x:row>
    <x:row r="48">
      <x:c r="A48" s="224"/>
      <x:c r="B48" s="224"/>
      <x:c r="C48" s="225"/>
      <x:c r="D48" s="226"/>
      <x:c r="E48" s="224"/>
      <x:c r="F48" s="228"/>
      <x:c r="G48" s="229" t="str">
        <x:f>IF(A48="","",IF(E48="CNY",1,IF(E48="JPY",'说明与目标'!$B$10,"")))</x:f>
      </x:c>
      <x:c r="H48" s="229" t="str">
        <x:f>IF(A48="","",F48*G48)</x:f>
      </x:c>
      <x:c r="I48" s="228"/>
      <x:c r="J48" s="224"/>
      <x:c r="K48" s="228"/>
      <x:c r="L48" s="228"/>
      <x:c r="M48" s="230" t="str">
        <x:f>IF(A48="","",H48-I48-J48*K48-L48)</x:f>
      </x:c>
      <x:c r="N48" s="231" t="str">
        <x:f>IFERROR(M48/H48,"")</x:f>
      </x:c>
      <x:c r="O48" s="232"/>
      <x:c r="P48" s="230" t="str">
        <x:f>IF(A48="","",H48*O48)</x:f>
      </x:c>
      <x:c r="Q48" s="225"/>
      <x:c r="R48" s="225"/>
      <x:c r="S48" s="224"/>
      <x:c r="T48" s="226"/>
      <x:c r="U48" s="83"/>
      <x:c r="V48" s="83" t="str">
        <x:f>IF(A48="","",IF(U48="","阻断：缺服务编号",IF(OR(I48="",J48="",K48="",L48="",O48=""),"阻断：成本/工时/订金未填",IF(P48&lt;I48+L48,"阻断：订金不足以覆盖全部现金成本",IF(N48&lt;0.5,"阻断：经济贡献率低于50%",IF(IFERROR((H48-I48-L48)/H48,0)&lt;IFERROR(XLOOKUP(U48,'服务测试'!$A$5:$A$13,'服务测试'!$J$5:$J$13),1),"阻断：现金贡献率低于服务目标",IFERROR(IF(AND(OR(XLOOKUP(U48,'服务测试'!$A$5:$A$13,'服务测试'!$D$5:$D$13)="付费测试已批准",XLOOKUP(U48,'服务测试'!$A$5:$A$13,'服务测试'!$D$5:$D$13)="已验证"),XLOOKUP(U48,'服务测试'!$A$5:$A$13,'服务测试'!$S$5:$S$13)="已批准",XLOOKUP(U48,'服务测试'!$A$5:$A$13,'服务测试'!$T$5:$T$13)&lt;&gt;"",XLOOKUP(U48,'服务测试'!$A$5:$A$13,'服务测试'!$U$5:$U$13)&lt;&gt;"未知"),"可报价","阻断：服务硬门或成本未过"),"阻断：服务编号不存在")))))))</x:f>
      </x:c>
    </x:row>
    <x:row r="49">
      <x:c r="A49" s="224"/>
      <x:c r="B49" s="224"/>
      <x:c r="C49" s="225"/>
      <x:c r="D49" s="226"/>
      <x:c r="E49" s="224"/>
      <x:c r="F49" s="228"/>
      <x:c r="G49" s="229" t="str">
        <x:f>IF(A49="","",IF(E49="CNY",1,IF(E49="JPY",'说明与目标'!$B$10,"")))</x:f>
      </x:c>
      <x:c r="H49" s="229" t="str">
        <x:f>IF(A49="","",F49*G49)</x:f>
      </x:c>
      <x:c r="I49" s="228"/>
      <x:c r="J49" s="224"/>
      <x:c r="K49" s="228"/>
      <x:c r="L49" s="228"/>
      <x:c r="M49" s="230" t="str">
        <x:f>IF(A49="","",H49-I49-J49*K49-L49)</x:f>
      </x:c>
      <x:c r="N49" s="231" t="str">
        <x:f>IFERROR(M49/H49,"")</x:f>
      </x:c>
      <x:c r="O49" s="232"/>
      <x:c r="P49" s="230" t="str">
        <x:f>IF(A49="","",H49*O49)</x:f>
      </x:c>
      <x:c r="Q49" s="225"/>
      <x:c r="R49" s="225"/>
      <x:c r="S49" s="224"/>
      <x:c r="T49" s="226"/>
      <x:c r="U49" s="83"/>
      <x:c r="V49" s="83" t="str">
        <x:f>IF(A49="","",IF(U49="","阻断：缺服务编号",IF(OR(I49="",J49="",K49="",L49="",O49=""),"阻断：成本/工时/订金未填",IF(P49&lt;I49+L49,"阻断：订金不足以覆盖全部现金成本",IF(N49&lt;0.5,"阻断：经济贡献率低于50%",IF(IFERROR((H49-I49-L49)/H49,0)&lt;IFERROR(XLOOKUP(U49,'服务测试'!$A$5:$A$13,'服务测试'!$J$5:$J$13),1),"阻断：现金贡献率低于服务目标",IFERROR(IF(AND(OR(XLOOKUP(U49,'服务测试'!$A$5:$A$13,'服务测试'!$D$5:$D$13)="付费测试已批准",XLOOKUP(U49,'服务测试'!$A$5:$A$13,'服务测试'!$D$5:$D$13)="已验证"),XLOOKUP(U49,'服务测试'!$A$5:$A$13,'服务测试'!$S$5:$S$13)="已批准",XLOOKUP(U49,'服务测试'!$A$5:$A$13,'服务测试'!$T$5:$T$13)&lt;&gt;"",XLOOKUP(U49,'服务测试'!$A$5:$A$13,'服务测试'!$U$5:$U$13)&lt;&gt;"未知"),"可报价","阻断：服务硬门或成本未过"),"阻断：服务编号不存在")))))))</x:f>
      </x:c>
    </x:row>
    <x:row r="50">
      <x:c r="A50" s="224"/>
      <x:c r="B50" s="224"/>
      <x:c r="C50" s="225"/>
      <x:c r="D50" s="226"/>
      <x:c r="E50" s="224"/>
      <x:c r="F50" s="228"/>
      <x:c r="G50" s="229" t="str">
        <x:f>IF(A50="","",IF(E50="CNY",1,IF(E50="JPY",'说明与目标'!$B$10,"")))</x:f>
      </x:c>
      <x:c r="H50" s="229" t="str">
        <x:f>IF(A50="","",F50*G50)</x:f>
      </x:c>
      <x:c r="I50" s="228"/>
      <x:c r="J50" s="224"/>
      <x:c r="K50" s="228"/>
      <x:c r="L50" s="228"/>
      <x:c r="M50" s="230" t="str">
        <x:f>IF(A50="","",H50-I50-J50*K50-L50)</x:f>
      </x:c>
      <x:c r="N50" s="231" t="str">
        <x:f>IFERROR(M50/H50,"")</x:f>
      </x:c>
      <x:c r="O50" s="232"/>
      <x:c r="P50" s="230" t="str">
        <x:f>IF(A50="","",H50*O50)</x:f>
      </x:c>
      <x:c r="Q50" s="225"/>
      <x:c r="R50" s="225"/>
      <x:c r="S50" s="224"/>
      <x:c r="T50" s="226"/>
      <x:c r="U50" s="83"/>
      <x:c r="V50" s="83" t="str">
        <x:f>IF(A50="","",IF(U50="","阻断：缺服务编号",IF(OR(I50="",J50="",K50="",L50="",O50=""),"阻断：成本/工时/订金未填",IF(P50&lt;I50+L50,"阻断：订金不足以覆盖全部现金成本",IF(N50&lt;0.5,"阻断：经济贡献率低于50%",IF(IFERROR((H50-I50-L50)/H50,0)&lt;IFERROR(XLOOKUP(U50,'服务测试'!$A$5:$A$13,'服务测试'!$J$5:$J$13),1),"阻断：现金贡献率低于服务目标",IFERROR(IF(AND(OR(XLOOKUP(U50,'服务测试'!$A$5:$A$13,'服务测试'!$D$5:$D$13)="付费测试已批准",XLOOKUP(U50,'服务测试'!$A$5:$A$13,'服务测试'!$D$5:$D$13)="已验证"),XLOOKUP(U50,'服务测试'!$A$5:$A$13,'服务测试'!$S$5:$S$13)="已批准",XLOOKUP(U50,'服务测试'!$A$5:$A$13,'服务测试'!$T$5:$T$13)&lt;&gt;"",XLOOKUP(U50,'服务测试'!$A$5:$A$13,'服务测试'!$U$5:$U$13)&lt;&gt;"未知"),"可报价","阻断：服务硬门或成本未过"),"阻断：服务编号不存在")))))))</x:f>
      </x:c>
    </x:row>
    <x:row r="51">
      <x:c r="A51" s="224"/>
      <x:c r="B51" s="224"/>
      <x:c r="C51" s="225"/>
      <x:c r="D51" s="226"/>
      <x:c r="E51" s="224"/>
      <x:c r="F51" s="228"/>
      <x:c r="G51" s="229" t="str">
        <x:f>IF(A51="","",IF(E51="CNY",1,IF(E51="JPY",'说明与目标'!$B$10,"")))</x:f>
      </x:c>
      <x:c r="H51" s="229" t="str">
        <x:f>IF(A51="","",F51*G51)</x:f>
      </x:c>
      <x:c r="I51" s="228"/>
      <x:c r="J51" s="224"/>
      <x:c r="K51" s="228"/>
      <x:c r="L51" s="228"/>
      <x:c r="M51" s="230" t="str">
        <x:f>IF(A51="","",H51-I51-J51*K51-L51)</x:f>
      </x:c>
      <x:c r="N51" s="231" t="str">
        <x:f>IFERROR(M51/H51,"")</x:f>
      </x:c>
      <x:c r="O51" s="232"/>
      <x:c r="P51" s="230" t="str">
        <x:f>IF(A51="","",H51*O51)</x:f>
      </x:c>
      <x:c r="Q51" s="225"/>
      <x:c r="R51" s="225"/>
      <x:c r="S51" s="224"/>
      <x:c r="T51" s="226"/>
      <x:c r="U51" s="83"/>
      <x:c r="V51" s="83" t="str">
        <x:f>IF(A51="","",IF(U51="","阻断：缺服务编号",IF(OR(I51="",J51="",K51="",L51="",O51=""),"阻断：成本/工时/订金未填",IF(P51&lt;I51+L51,"阻断：订金不足以覆盖全部现金成本",IF(N51&lt;0.5,"阻断：经济贡献率低于50%",IF(IFERROR((H51-I51-L51)/H51,0)&lt;IFERROR(XLOOKUP(U51,'服务测试'!$A$5:$A$13,'服务测试'!$J$5:$J$13),1),"阻断：现金贡献率低于服务目标",IFERROR(IF(AND(OR(XLOOKUP(U51,'服务测试'!$A$5:$A$13,'服务测试'!$D$5:$D$13)="付费测试已批准",XLOOKUP(U51,'服务测试'!$A$5:$A$13,'服务测试'!$D$5:$D$13)="已验证"),XLOOKUP(U51,'服务测试'!$A$5:$A$13,'服务测试'!$S$5:$S$13)="已批准",XLOOKUP(U51,'服务测试'!$A$5:$A$13,'服务测试'!$T$5:$T$13)&lt;&gt;"",XLOOKUP(U51,'服务测试'!$A$5:$A$13,'服务测试'!$U$5:$U$13)&lt;&gt;"未知"),"可报价","阻断：服务硬门或成本未过"),"阻断：服务编号不存在")))))))</x:f>
      </x:c>
    </x:row>
    <x:row r="52">
      <x:c r="A52" s="224"/>
      <x:c r="B52" s="224"/>
      <x:c r="C52" s="225"/>
      <x:c r="D52" s="226"/>
      <x:c r="E52" s="224"/>
      <x:c r="F52" s="228"/>
      <x:c r="G52" s="229" t="str">
        <x:f>IF(A52="","",IF(E52="CNY",1,IF(E52="JPY",'说明与目标'!$B$10,"")))</x:f>
      </x:c>
      <x:c r="H52" s="229" t="str">
        <x:f>IF(A52="","",F52*G52)</x:f>
      </x:c>
      <x:c r="I52" s="228"/>
      <x:c r="J52" s="224"/>
      <x:c r="K52" s="228"/>
      <x:c r="L52" s="228"/>
      <x:c r="M52" s="230" t="str">
        <x:f>IF(A52="","",H52-I52-J52*K52-L52)</x:f>
      </x:c>
      <x:c r="N52" s="231" t="str">
        <x:f>IFERROR(M52/H52,"")</x:f>
      </x:c>
      <x:c r="O52" s="232"/>
      <x:c r="P52" s="230" t="str">
        <x:f>IF(A52="","",H52*O52)</x:f>
      </x:c>
      <x:c r="Q52" s="225"/>
      <x:c r="R52" s="225"/>
      <x:c r="S52" s="224"/>
      <x:c r="T52" s="226"/>
      <x:c r="U52" s="83"/>
      <x:c r="V52" s="83" t="str">
        <x:f>IF(A52="","",IF(U52="","阻断：缺服务编号",IF(OR(I52="",J52="",K52="",L52="",O52=""),"阻断：成本/工时/订金未填",IF(P52&lt;I52+L52,"阻断：订金不足以覆盖全部现金成本",IF(N52&lt;0.5,"阻断：经济贡献率低于50%",IF(IFERROR((H52-I52-L52)/H52,0)&lt;IFERROR(XLOOKUP(U52,'服务测试'!$A$5:$A$13,'服务测试'!$J$5:$J$13),1),"阻断：现金贡献率低于服务目标",IFERROR(IF(AND(OR(XLOOKUP(U52,'服务测试'!$A$5:$A$13,'服务测试'!$D$5:$D$13)="付费测试已批准",XLOOKUP(U52,'服务测试'!$A$5:$A$13,'服务测试'!$D$5:$D$13)="已验证"),XLOOKUP(U52,'服务测试'!$A$5:$A$13,'服务测试'!$S$5:$S$13)="已批准",XLOOKUP(U52,'服务测试'!$A$5:$A$13,'服务测试'!$T$5:$T$13)&lt;&gt;"",XLOOKUP(U52,'服务测试'!$A$5:$A$13,'服务测试'!$U$5:$U$13)&lt;&gt;"未知"),"可报价","阻断：服务硬门或成本未过"),"阻断：服务编号不存在")))))))</x:f>
      </x:c>
    </x:row>
    <x:row r="53">
      <x:c r="A53" s="224"/>
      <x:c r="B53" s="224"/>
      <x:c r="C53" s="225"/>
      <x:c r="D53" s="226"/>
      <x:c r="E53" s="224"/>
      <x:c r="F53" s="228"/>
      <x:c r="G53" s="229" t="str">
        <x:f>IF(A53="","",IF(E53="CNY",1,IF(E53="JPY",'说明与目标'!$B$10,"")))</x:f>
      </x:c>
      <x:c r="H53" s="229" t="str">
        <x:f>IF(A53="","",F53*G53)</x:f>
      </x:c>
      <x:c r="I53" s="228"/>
      <x:c r="J53" s="224"/>
      <x:c r="K53" s="228"/>
      <x:c r="L53" s="228"/>
      <x:c r="M53" s="230" t="str">
        <x:f>IF(A53="","",H53-I53-J53*K53-L53)</x:f>
      </x:c>
      <x:c r="N53" s="231" t="str">
        <x:f>IFERROR(M53/H53,"")</x:f>
      </x:c>
      <x:c r="O53" s="232"/>
      <x:c r="P53" s="230" t="str">
        <x:f>IF(A53="","",H53*O53)</x:f>
      </x:c>
      <x:c r="Q53" s="225"/>
      <x:c r="R53" s="225"/>
      <x:c r="S53" s="224"/>
      <x:c r="T53" s="226"/>
      <x:c r="U53" s="83"/>
      <x:c r="V53" s="83" t="str">
        <x:f>IF(A53="","",IF(U53="","阻断：缺服务编号",IF(OR(I53="",J53="",K53="",L53="",O53=""),"阻断：成本/工时/订金未填",IF(P53&lt;I53+L53,"阻断：订金不足以覆盖全部现金成本",IF(N53&lt;0.5,"阻断：经济贡献率低于50%",IF(IFERROR((H53-I53-L53)/H53,0)&lt;IFERROR(XLOOKUP(U53,'服务测试'!$A$5:$A$13,'服务测试'!$J$5:$J$13),1),"阻断：现金贡献率低于服务目标",IFERROR(IF(AND(OR(XLOOKUP(U53,'服务测试'!$A$5:$A$13,'服务测试'!$D$5:$D$13)="付费测试已批准",XLOOKUP(U53,'服务测试'!$A$5:$A$13,'服务测试'!$D$5:$D$13)="已验证"),XLOOKUP(U53,'服务测试'!$A$5:$A$13,'服务测试'!$S$5:$S$13)="已批准",XLOOKUP(U53,'服务测试'!$A$5:$A$13,'服务测试'!$T$5:$T$13)&lt;&gt;"",XLOOKUP(U53,'服务测试'!$A$5:$A$13,'服务测试'!$U$5:$U$13)&lt;&gt;"未知"),"可报价","阻断：服务硬门或成本未过"),"阻断：服务编号不存在")))))))</x:f>
      </x:c>
    </x:row>
    <x:row r="54">
      <x:c r="A54" s="224"/>
      <x:c r="B54" s="224"/>
      <x:c r="C54" s="225"/>
      <x:c r="D54" s="226"/>
      <x:c r="E54" s="224"/>
      <x:c r="F54" s="228"/>
      <x:c r="G54" s="229" t="str">
        <x:f>IF(A54="","",IF(E54="CNY",1,IF(E54="JPY",'说明与目标'!$B$10,"")))</x:f>
      </x:c>
      <x:c r="H54" s="229" t="str">
        <x:f>IF(A54="","",F54*G54)</x:f>
      </x:c>
      <x:c r="I54" s="228"/>
      <x:c r="J54" s="224"/>
      <x:c r="K54" s="228"/>
      <x:c r="L54" s="228"/>
      <x:c r="M54" s="230" t="str">
        <x:f>IF(A54="","",H54-I54-J54*K54-L54)</x:f>
      </x:c>
      <x:c r="N54" s="231" t="str">
        <x:f>IFERROR(M54/H54,"")</x:f>
      </x:c>
      <x:c r="O54" s="232"/>
      <x:c r="P54" s="230" t="str">
        <x:f>IF(A54="","",H54*O54)</x:f>
      </x:c>
      <x:c r="Q54" s="225"/>
      <x:c r="R54" s="225"/>
      <x:c r="S54" s="224"/>
      <x:c r="T54" s="226"/>
      <x:c r="U54" s="83"/>
      <x:c r="V54" s="83" t="str">
        <x:f>IF(A54="","",IF(U54="","阻断：缺服务编号",IF(OR(I54="",J54="",K54="",L54="",O54=""),"阻断：成本/工时/订金未填",IF(P54&lt;I54+L54,"阻断：订金不足以覆盖全部现金成本",IF(N54&lt;0.5,"阻断：经济贡献率低于50%",IF(IFERROR((H54-I54-L54)/H54,0)&lt;IFERROR(XLOOKUP(U54,'服务测试'!$A$5:$A$13,'服务测试'!$J$5:$J$13),1),"阻断：现金贡献率低于服务目标",IFERROR(IF(AND(OR(XLOOKUP(U54,'服务测试'!$A$5:$A$13,'服务测试'!$D$5:$D$13)="付费测试已批准",XLOOKUP(U54,'服务测试'!$A$5:$A$13,'服务测试'!$D$5:$D$13)="已验证"),XLOOKUP(U54,'服务测试'!$A$5:$A$13,'服务测试'!$S$5:$S$13)="已批准",XLOOKUP(U54,'服务测试'!$A$5:$A$13,'服务测试'!$T$5:$T$13)&lt;&gt;"",XLOOKUP(U54,'服务测试'!$A$5:$A$13,'服务测试'!$U$5:$U$13)&lt;&gt;"未知"),"可报价","阻断：服务硬门或成本未过"),"阻断：服务编号不存在")))))))</x:f>
      </x:c>
    </x:row>
  </x:sheetData>
  <x:mergeCells>
    <x:mergeCell ref="A1:V1"/>
    <x:mergeCell ref="A2:V2"/>
  </x:mergeCells>
  <x:conditionalFormatting sqref="N5:N54">
    <x:cfRule type="cellIs" dxfId="6" priority="1" operator="lessThan">
      <x:formula>0.5</x:formula>
    </x:cfRule>
  </x:conditionalFormatting>
  <x:conditionalFormatting sqref="V5:V54">
    <x:cfRule type="containsText" dxfId="15" priority="2" operator="containsText" text="阻断"/>
    <x:cfRule type="containsText" dxfId="16" priority="3" operator="containsText" text="可报价"/>
  </x:conditionalFormatting>
  <x:dataValidations count="3">
    <x:dataValidation type="list" sqref="E5:E54">
      <x:formula1>"JPY,CNY"</x:formula1>
    </x:dataValidation>
    <x:dataValidation type="list" sqref="S5:S54">
      <x:formula1>"草稿,已发出,已收订金,已拒绝,已过期,暂停"</x:formula1>
    </x:dataValidation>
    <x:dataValidation type="list" sqref="U5:U54">
      <x:formula1>'服务测试'!$A$5:$A$13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3ebca9bfed40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5" hidden="0" customWidth="1"/>
    <x:col min="12" max="12" width="14" hidden="0" customWidth="1"/>
    <x:col min="13" max="13" width="16" hidden="0" customWidth="1"/>
    <x:col min="14" max="14" width="16" hidden="0" customWidth="1"/>
    <x:col min="15" max="15" width="18" hidden="0" customWidth="1"/>
    <x:col min="16" max="16" width="16" hidden="0" customWidth="1"/>
    <x:col min="17" max="17" width="16" hidden="0" customWidth="1"/>
    <x:col min="18" max="18" width="14" hidden="0" customWidth="1"/>
    <x:col min="19" max="19" width="18" hidden="0" customWidth="1"/>
    <x:col min="20" max="20" width="34" hidden="0" customWidth="1"/>
  </x:cols>
  <x:sheetData>
    <x:row r="1" ht="34" customHeight="1">
      <x:c r="A1" s="4" t="str">
        <x:v>项目与利润｜期间现金净利润与项目经济贡献分开看</x:v>
      </x:c>
      <x:c r="B1" s="4" t="str">
        <x:v>项目与利润｜期间现金净利润与项目经济贡献分开看</x:v>
      </x:c>
      <x:c r="C1" s="4" t="str">
        <x:v>项目与利润｜期间现金净利润与项目经济贡献分开看</x:v>
      </x:c>
      <x:c r="D1" s="4" t="str">
        <x:v>项目与利润｜期间现金净利润与项目经济贡献分开看</x:v>
      </x:c>
      <x:c r="E1" s="4" t="str">
        <x:v>项目与利润｜期间现金净利润与项目经济贡献分开看</x:v>
      </x:c>
      <x:c r="F1" s="4" t="str">
        <x:v>项目与利润｜期间现金净利润与项目经济贡献分开看</x:v>
      </x:c>
      <x:c r="G1" s="4" t="str">
        <x:v>项目与利润｜期间现金净利润与项目经济贡献分开看</x:v>
      </x:c>
      <x:c r="H1" s="4" t="str">
        <x:v>项目与利润｜期间现金净利润与项目经济贡献分开看</x:v>
      </x:c>
      <x:c r="I1" s="4" t="str">
        <x:v>项目与利润｜期间现金净利润与项目经济贡献分开看</x:v>
      </x:c>
      <x:c r="J1" s="4" t="str">
        <x:v>项目与利润｜期间现金净利润与项目经济贡献分开看</x:v>
      </x:c>
      <x:c r="K1" s="4" t="str">
        <x:v>项目与利润｜期间现金净利润与项目经济贡献分开看</x:v>
      </x:c>
      <x:c r="L1" s="4" t="str">
        <x:v>项目与利润｜期间现金净利润与项目经济贡献分开看</x:v>
      </x:c>
      <x:c r="M1" s="4" t="str">
        <x:v>项目与利润｜期间现金净利润与项目经济贡献分开看</x:v>
      </x:c>
      <x:c r="N1" s="4" t="str">
        <x:v>项目与利润｜期间现金净利润与项目经济贡献分开看</x:v>
      </x:c>
      <x:c r="O1" s="4" t="str">
        <x:v>项目与利润｜期间现金净利润与项目经济贡献分开看</x:v>
      </x:c>
      <x:c r="P1" s="4" t="str">
        <x:v>项目与利润｜期间现金净利润与项目经济贡献分开看</x:v>
      </x:c>
      <x:c r="Q1" s="4" t="str">
        <x:v>项目与利润｜期间现金净利润与项目经济贡献分开看</x:v>
      </x:c>
      <x:c r="R1" s="4" t="str">
        <x:v>项目与利润｜期间现金净利润与项目经济贡献分开看</x:v>
      </x:c>
      <x:c r="S1" s="4" t="str">
        <x:v>项目与利润｜期间现金净利润与项目经济贡献分开看</x:v>
      </x:c>
      <x:c r="T1" s="4" t="str">
        <x:v>项目与利润｜期间现金净利润与项目经济贡献分开看</x:v>
      </x:c>
    </x:row>
    <x:row r="2">
      <x:c r="A2" s="223" t="str">
        <x:v>项目现金贡献用于观察单笔现金结果；项目经济贡献另外扣除创始人工时，但仍不等于公司最终净利润。工时不记录，就无法判断报价是否可持续。</x:v>
      </x:c>
      <x:c r="B2" s="223" t="str">
        <x:v>项目现金贡献用于观察单笔现金结果；项目经济贡献另外扣除创始人工时，但仍不等于公司最终净利润。工时不记录，就无法判断报价是否可持续。</x:v>
      </x:c>
      <x:c r="C2" s="223" t="str">
        <x:v>项目现金贡献用于观察单笔现金结果；项目经济贡献另外扣除创始人工时，但仍不等于公司最终净利润。工时不记录，就无法判断报价是否可持续。</x:v>
      </x:c>
      <x:c r="D2" s="223" t="str">
        <x:v>项目现金贡献用于观察单笔现金结果；项目经济贡献另外扣除创始人工时，但仍不等于公司最终净利润。工时不记录，就无法判断报价是否可持续。</x:v>
      </x:c>
      <x:c r="E2" s="223" t="str">
        <x:v>项目现金贡献用于观察单笔现金结果；项目经济贡献另外扣除创始人工时，但仍不等于公司最终净利润。工时不记录，就无法判断报价是否可持续。</x:v>
      </x:c>
      <x:c r="F2" s="223" t="str">
        <x:v>项目现金贡献用于观察单笔现金结果；项目经济贡献另外扣除创始人工时，但仍不等于公司最终净利润。工时不记录，就无法判断报价是否可持续。</x:v>
      </x:c>
      <x:c r="G2" s="223" t="str">
        <x:v>项目现金贡献用于观察单笔现金结果；项目经济贡献另外扣除创始人工时，但仍不等于公司最终净利润。工时不记录，就无法判断报价是否可持续。</x:v>
      </x:c>
      <x:c r="H2" s="223" t="str">
        <x:v>项目现金贡献用于观察单笔现金结果；项目经济贡献另外扣除创始人工时，但仍不等于公司最终净利润。工时不记录，就无法判断报价是否可持续。</x:v>
      </x:c>
      <x:c r="I2" s="223" t="str">
        <x:v>项目现金贡献用于观察单笔现金结果；项目经济贡献另外扣除创始人工时，但仍不等于公司最终净利润。工时不记录，就无法判断报价是否可持续。</x:v>
      </x:c>
      <x:c r="J2" s="223" t="str">
        <x:v>项目现金贡献用于观察单笔现金结果；项目经济贡献另外扣除创始人工时，但仍不等于公司最终净利润。工时不记录，就无法判断报价是否可持续。</x:v>
      </x:c>
      <x:c r="K2" s="223" t="str">
        <x:v>项目现金贡献用于观察单笔现金结果；项目经济贡献另外扣除创始人工时，但仍不等于公司最终净利润。工时不记录，就无法判断报价是否可持续。</x:v>
      </x:c>
      <x:c r="L2" s="223" t="str">
        <x:v>项目现金贡献用于观察单笔现金结果；项目经济贡献另外扣除创始人工时，但仍不等于公司最终净利润。工时不记录，就无法判断报价是否可持续。</x:v>
      </x:c>
      <x:c r="M2" s="223" t="str">
        <x:v>项目现金贡献用于观察单笔现金结果；项目经济贡献另外扣除创始人工时，但仍不等于公司最终净利润。工时不记录，就无法判断报价是否可持续。</x:v>
      </x:c>
      <x:c r="N2" s="223" t="str">
        <x:v>项目现金贡献用于观察单笔现金结果；项目经济贡献另外扣除创始人工时，但仍不等于公司最终净利润。工时不记录，就无法判断报价是否可持续。</x:v>
      </x:c>
      <x:c r="O2" s="223" t="str">
        <x:v>项目现金贡献用于观察单笔现金结果；项目经济贡献另外扣除创始人工时，但仍不等于公司最终净利润。工时不记录，就无法判断报价是否可持续。</x:v>
      </x:c>
      <x:c r="P2" s="223" t="str">
        <x:v>项目现金贡献用于观察单笔现金结果；项目经济贡献另外扣除创始人工时，但仍不等于公司最终净利润。工时不记录，就无法判断报价是否可持续。</x:v>
      </x:c>
      <x:c r="Q2" s="223" t="str">
        <x:v>项目现金贡献用于观察单笔现金结果；项目经济贡献另外扣除创始人工时，但仍不等于公司最终净利润。工时不记录，就无法判断报价是否可持续。</x:v>
      </x:c>
      <x:c r="R2" s="223" t="str">
        <x:v>项目现金贡献用于观察单笔现金结果；项目经济贡献另外扣除创始人工时，但仍不等于公司最终净利润。工时不记录，就无法判断报价是否可持续。</x:v>
      </x:c>
      <x:c r="S2" s="223" t="str">
        <x:v>项目现金贡献用于观察单笔现金结果；项目经济贡献另外扣除创始人工时，但仍不等于公司最终净利润。工时不记录，就无法判断报价是否可持续。</x:v>
      </x:c>
      <x:c r="T2" s="223" t="str">
        <x:v>项目现金贡献用于观察单笔现金结果；项目经济贡献另外扣除创始人工时，但仍不等于公司最终净利润。工时不记录，就无法判断报价是否可持续。</x:v>
      </x:c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  <x:c r="M3" s="174"/>
      <x:c r="N3" s="174"/>
      <x:c r="O3" s="174"/>
      <x:c r="P3" s="174"/>
      <x:c r="Q3" s="174"/>
      <x:c r="R3" s="174"/>
      <x:c r="S3" s="174"/>
      <x:c r="T3" s="174"/>
    </x:row>
    <x:row r="4" ht="30" customHeight="1">
      <x:c r="A4" s="77" t="str">
        <x:v>项目ID</x:v>
      </x:c>
      <x:c r="B4" s="78" t="str">
        <x:v>报价ID</x:v>
      </x:c>
      <x:c r="C4" s="78" t="str">
        <x:v>客户</x:v>
      </x:c>
      <x:c r="D4" s="78" t="str">
        <x:v>开始日</x:v>
      </x:c>
      <x:c r="E4" s="78" t="str">
        <x:v>计划结束</x:v>
      </x:c>
      <x:c r="F4" s="78" t="str">
        <x:v>状态</x:v>
      </x:c>
      <x:c r="G4" s="78" t="str">
        <x:v>合同额CNY</x:v>
      </x:c>
      <x:c r="H4" s="78" t="str">
        <x:v>已回款</x:v>
      </x:c>
      <x:c r="I4" s="78" t="str">
        <x:v>直接/支付成本</x:v>
      </x:c>
      <x:c r="J4" s="78" t="str">
        <x:v>获客成本</x:v>
      </x:c>
      <x:c r="K4" s="78" t="str">
        <x:v>创始人工时</x:v>
      </x:c>
      <x:c r="L4" s="78" t="str">
        <x:v>小时成本</x:v>
      </x:c>
      <x:c r="M4" s="78" t="str">
        <x:v>人工成本</x:v>
      </x:c>
      <x:c r="N4" s="78" t="str">
        <x:v>项目现金贡献</x:v>
      </x:c>
      <x:c r="O4" s="78" t="str">
        <x:v>项目经济贡献</x:v>
      </x:c>
      <x:c r="P4" s="78" t="str">
        <x:v>经济贡献率</x:v>
      </x:c>
      <x:c r="Q4" s="78" t="str">
        <x:v>应收款</x:v>
      </x:c>
      <x:c r="R4" s="78" t="str">
        <x:v>按时交付</x:v>
      </x:c>
      <x:c r="S4" s="78" t="str">
        <x:v>证据公开授权</x:v>
      </x:c>
      <x:c r="T4" s="79" t="str">
        <x:v>备注</x:v>
      </x:c>
    </x:row>
    <x:row r="5">
      <x:c r="A5" s="224"/>
      <x:c r="B5" s="224"/>
      <x:c r="C5" s="224"/>
      <x:c r="D5" s="225"/>
      <x:c r="E5" s="225"/>
      <x:c r="F5" s="224"/>
      <x:c r="G5" s="228"/>
      <x:c r="H5" s="229" t="str">
        <x:f>IF(A5="","",SUMIFS('现金流水'!$H$5:$H$104,'现金流水'!$C$5:$C$104,A5,'现金流水'!$B$5:$B$104,"收入",'现金流水'!$J$5:$J$104,"已到账"))</x:f>
      </x:c>
      <x:c r="I5" s="229" t="str">
        <x:f>IF(A5="","",SUMIFS('现金流水'!$H$5:$H$104,'现金流水'!$C$5:$C$104,A5,'现金流水'!$B$5:$B$104,"直接成本",'现金流水'!$J$5:$J$104,"已支付"))</x:f>
      </x:c>
      <x:c r="J5" s="228"/>
      <x:c r="K5" s="233"/>
      <x:c r="L5" s="229" t="str">
        <x:f>IF(A5="","",'说明与目标'!$B$16)</x:f>
      </x:c>
      <x:c r="M5" s="234" t="str">
        <x:f>IF(A5="","",K5*L5)</x:f>
      </x:c>
      <x:c r="N5" s="234" t="str">
        <x:f>IF(A5="","",H5-I5-J5)</x:f>
      </x:c>
      <x:c r="O5" s="234" t="str">
        <x:f>IF(A5="","",N5-M5)</x:f>
      </x:c>
      <x:c r="P5" s="235" t="str">
        <x:f>IFERROR(O5/H5,"")</x:f>
      </x:c>
      <x:c r="Q5" s="234" t="str">
        <x:f>IF(A5="","",MAX(0,G5-H5))</x:f>
      </x:c>
      <x:c r="R5" s="224"/>
      <x:c r="S5" s="224"/>
      <x:c r="T5" s="226"/>
    </x:row>
    <x:row r="6">
      <x:c r="A6" s="224"/>
      <x:c r="B6" s="224"/>
      <x:c r="C6" s="224"/>
      <x:c r="D6" s="225"/>
      <x:c r="E6" s="225"/>
      <x:c r="F6" s="224"/>
      <x:c r="G6" s="228"/>
      <x:c r="H6" s="229" t="str">
        <x:f>IF(A6="","",SUMIFS('现金流水'!$H$5:$H$104,'现金流水'!$C$5:$C$104,A6,'现金流水'!$B$5:$B$104,"收入",'现金流水'!$J$5:$J$104,"已到账"))</x:f>
      </x:c>
      <x:c r="I6" s="229" t="str">
        <x:f>IF(A6="","",SUMIFS('现金流水'!$H$5:$H$104,'现金流水'!$C$5:$C$104,A6,'现金流水'!$B$5:$B$104,"直接成本",'现金流水'!$J$5:$J$104,"已支付"))</x:f>
      </x:c>
      <x:c r="J6" s="228"/>
      <x:c r="K6" s="233"/>
      <x:c r="L6" s="229" t="str">
        <x:f>IF(A6="","",'说明与目标'!$B$16)</x:f>
      </x:c>
      <x:c r="M6" s="234" t="str">
        <x:f>IF(A6="","",K6*L6)</x:f>
      </x:c>
      <x:c r="N6" s="234" t="str">
        <x:f>IF(A6="","",H6-I6-J6)</x:f>
      </x:c>
      <x:c r="O6" s="234" t="str">
        <x:f>IF(A6="","",N6-M6)</x:f>
      </x:c>
      <x:c r="P6" s="235" t="str">
        <x:f>IFERROR(O6/H6,"")</x:f>
      </x:c>
      <x:c r="Q6" s="234" t="str">
        <x:f>IF(A6="","",MAX(0,G6-H6))</x:f>
      </x:c>
      <x:c r="R6" s="224"/>
      <x:c r="S6" s="224"/>
      <x:c r="T6" s="226"/>
    </x:row>
    <x:row r="7">
      <x:c r="A7" s="224"/>
      <x:c r="B7" s="224"/>
      <x:c r="C7" s="224"/>
      <x:c r="D7" s="225"/>
      <x:c r="E7" s="225"/>
      <x:c r="F7" s="224"/>
      <x:c r="G7" s="228"/>
      <x:c r="H7" s="229" t="str">
        <x:f>IF(A7="","",SUMIFS('现金流水'!$H$5:$H$104,'现金流水'!$C$5:$C$104,A7,'现金流水'!$B$5:$B$104,"收入",'现金流水'!$J$5:$J$104,"已到账"))</x:f>
      </x:c>
      <x:c r="I7" s="229" t="str">
        <x:f>IF(A7="","",SUMIFS('现金流水'!$H$5:$H$104,'现金流水'!$C$5:$C$104,A7,'现金流水'!$B$5:$B$104,"直接成本",'现金流水'!$J$5:$J$104,"已支付"))</x:f>
      </x:c>
      <x:c r="J7" s="228"/>
      <x:c r="K7" s="233"/>
      <x:c r="L7" s="229" t="str">
        <x:f>IF(A7="","",'说明与目标'!$B$16)</x:f>
      </x:c>
      <x:c r="M7" s="234" t="str">
        <x:f>IF(A7="","",K7*L7)</x:f>
      </x:c>
      <x:c r="N7" s="234" t="str">
        <x:f>IF(A7="","",H7-I7-J7)</x:f>
      </x:c>
      <x:c r="O7" s="234" t="str">
        <x:f>IF(A7="","",N7-M7)</x:f>
      </x:c>
      <x:c r="P7" s="235" t="str">
        <x:f>IFERROR(O7/H7,"")</x:f>
      </x:c>
      <x:c r="Q7" s="234" t="str">
        <x:f>IF(A7="","",MAX(0,G7-H7))</x:f>
      </x:c>
      <x:c r="R7" s="224"/>
      <x:c r="S7" s="224"/>
      <x:c r="T7" s="226"/>
    </x:row>
    <x:row r="8">
      <x:c r="A8" s="224"/>
      <x:c r="B8" s="224"/>
      <x:c r="C8" s="224"/>
      <x:c r="D8" s="225"/>
      <x:c r="E8" s="225"/>
      <x:c r="F8" s="224"/>
      <x:c r="G8" s="228"/>
      <x:c r="H8" s="229" t="str">
        <x:f>IF(A8="","",SUMIFS('现金流水'!$H$5:$H$104,'现金流水'!$C$5:$C$104,A8,'现金流水'!$B$5:$B$104,"收入",'现金流水'!$J$5:$J$104,"已到账"))</x:f>
      </x:c>
      <x:c r="I8" s="229" t="str">
        <x:f>IF(A8="","",SUMIFS('现金流水'!$H$5:$H$104,'现金流水'!$C$5:$C$104,A8,'现金流水'!$B$5:$B$104,"直接成本",'现金流水'!$J$5:$J$104,"已支付"))</x:f>
      </x:c>
      <x:c r="J8" s="228"/>
      <x:c r="K8" s="233"/>
      <x:c r="L8" s="229" t="str">
        <x:f>IF(A8="","",'说明与目标'!$B$16)</x:f>
      </x:c>
      <x:c r="M8" s="234" t="str">
        <x:f>IF(A8="","",K8*L8)</x:f>
      </x:c>
      <x:c r="N8" s="234" t="str">
        <x:f>IF(A8="","",H8-I8-J8)</x:f>
      </x:c>
      <x:c r="O8" s="234" t="str">
        <x:f>IF(A8="","",N8-M8)</x:f>
      </x:c>
      <x:c r="P8" s="235" t="str">
        <x:f>IFERROR(O8/H8,"")</x:f>
      </x:c>
      <x:c r="Q8" s="234" t="str">
        <x:f>IF(A8="","",MAX(0,G8-H8))</x:f>
      </x:c>
      <x:c r="R8" s="224"/>
      <x:c r="S8" s="224"/>
      <x:c r="T8" s="226"/>
    </x:row>
    <x:row r="9">
      <x:c r="A9" s="224"/>
      <x:c r="B9" s="224"/>
      <x:c r="C9" s="224"/>
      <x:c r="D9" s="225"/>
      <x:c r="E9" s="225"/>
      <x:c r="F9" s="224"/>
      <x:c r="G9" s="228"/>
      <x:c r="H9" s="229" t="str">
        <x:f>IF(A9="","",SUMIFS('现金流水'!$H$5:$H$104,'现金流水'!$C$5:$C$104,A9,'现金流水'!$B$5:$B$104,"收入",'现金流水'!$J$5:$J$104,"已到账"))</x:f>
      </x:c>
      <x:c r="I9" s="229" t="str">
        <x:f>IF(A9="","",SUMIFS('现金流水'!$H$5:$H$104,'现金流水'!$C$5:$C$104,A9,'现金流水'!$B$5:$B$104,"直接成本",'现金流水'!$J$5:$J$104,"已支付"))</x:f>
      </x:c>
      <x:c r="J9" s="228"/>
      <x:c r="K9" s="233"/>
      <x:c r="L9" s="229" t="str">
        <x:f>IF(A9="","",'说明与目标'!$B$16)</x:f>
      </x:c>
      <x:c r="M9" s="234" t="str">
        <x:f>IF(A9="","",K9*L9)</x:f>
      </x:c>
      <x:c r="N9" s="234" t="str">
        <x:f>IF(A9="","",H9-I9-J9)</x:f>
      </x:c>
      <x:c r="O9" s="234" t="str">
        <x:f>IF(A9="","",N9-M9)</x:f>
      </x:c>
      <x:c r="P9" s="235" t="str">
        <x:f>IFERROR(O9/H9,"")</x:f>
      </x:c>
      <x:c r="Q9" s="234" t="str">
        <x:f>IF(A9="","",MAX(0,G9-H9))</x:f>
      </x:c>
      <x:c r="R9" s="224"/>
      <x:c r="S9" s="224"/>
      <x:c r="T9" s="226"/>
    </x:row>
    <x:row r="10">
      <x:c r="A10" s="224"/>
      <x:c r="B10" s="224"/>
      <x:c r="C10" s="224"/>
      <x:c r="D10" s="225"/>
      <x:c r="E10" s="225"/>
      <x:c r="F10" s="224"/>
      <x:c r="G10" s="228"/>
      <x:c r="H10" s="229" t="str">
        <x:f>IF(A10="","",SUMIFS('现金流水'!$H$5:$H$104,'现金流水'!$C$5:$C$104,A10,'现金流水'!$B$5:$B$104,"收入",'现金流水'!$J$5:$J$104,"已到账"))</x:f>
      </x:c>
      <x:c r="I10" s="229" t="str">
        <x:f>IF(A10="","",SUMIFS('现金流水'!$H$5:$H$104,'现金流水'!$C$5:$C$104,A10,'现金流水'!$B$5:$B$104,"直接成本",'现金流水'!$J$5:$J$104,"已支付"))</x:f>
      </x:c>
      <x:c r="J10" s="228"/>
      <x:c r="K10" s="233"/>
      <x:c r="L10" s="229" t="str">
        <x:f>IF(A10="","",'说明与目标'!$B$16)</x:f>
      </x:c>
      <x:c r="M10" s="234" t="str">
        <x:f>IF(A10="","",K10*L10)</x:f>
      </x:c>
      <x:c r="N10" s="234" t="str">
        <x:f>IF(A10="","",H10-I10-J10)</x:f>
      </x:c>
      <x:c r="O10" s="234" t="str">
        <x:f>IF(A10="","",N10-M10)</x:f>
      </x:c>
      <x:c r="P10" s="235" t="str">
        <x:f>IFERROR(O10/H10,"")</x:f>
      </x:c>
      <x:c r="Q10" s="234" t="str">
        <x:f>IF(A10="","",MAX(0,G10-H10))</x:f>
      </x:c>
      <x:c r="R10" s="224"/>
      <x:c r="S10" s="224"/>
      <x:c r="T10" s="226"/>
    </x:row>
    <x:row r="11">
      <x:c r="A11" s="224"/>
      <x:c r="B11" s="224"/>
      <x:c r="C11" s="224"/>
      <x:c r="D11" s="225"/>
      <x:c r="E11" s="225"/>
      <x:c r="F11" s="224"/>
      <x:c r="G11" s="228"/>
      <x:c r="H11" s="229" t="str">
        <x:f>IF(A11="","",SUMIFS('现金流水'!$H$5:$H$104,'现金流水'!$C$5:$C$104,A11,'现金流水'!$B$5:$B$104,"收入",'现金流水'!$J$5:$J$104,"已到账"))</x:f>
      </x:c>
      <x:c r="I11" s="229" t="str">
        <x:f>IF(A11="","",SUMIFS('现金流水'!$H$5:$H$104,'现金流水'!$C$5:$C$104,A11,'现金流水'!$B$5:$B$104,"直接成本",'现金流水'!$J$5:$J$104,"已支付"))</x:f>
      </x:c>
      <x:c r="J11" s="228"/>
      <x:c r="K11" s="233"/>
      <x:c r="L11" s="229" t="str">
        <x:f>IF(A11="","",'说明与目标'!$B$16)</x:f>
      </x:c>
      <x:c r="M11" s="234" t="str">
        <x:f>IF(A11="","",K11*L11)</x:f>
      </x:c>
      <x:c r="N11" s="234" t="str">
        <x:f>IF(A11="","",H11-I11-J11)</x:f>
      </x:c>
      <x:c r="O11" s="234" t="str">
        <x:f>IF(A11="","",N11-M11)</x:f>
      </x:c>
      <x:c r="P11" s="235" t="str">
        <x:f>IFERROR(O11/H11,"")</x:f>
      </x:c>
      <x:c r="Q11" s="234" t="str">
        <x:f>IF(A11="","",MAX(0,G11-H11))</x:f>
      </x:c>
      <x:c r="R11" s="224"/>
      <x:c r="S11" s="224"/>
      <x:c r="T11" s="226"/>
    </x:row>
    <x:row r="12">
      <x:c r="A12" s="224"/>
      <x:c r="B12" s="224"/>
      <x:c r="C12" s="224"/>
      <x:c r="D12" s="225"/>
      <x:c r="E12" s="225"/>
      <x:c r="F12" s="224"/>
      <x:c r="G12" s="228"/>
      <x:c r="H12" s="229" t="str">
        <x:f>IF(A12="","",SUMIFS('现金流水'!$H$5:$H$104,'现金流水'!$C$5:$C$104,A12,'现金流水'!$B$5:$B$104,"收入",'现金流水'!$J$5:$J$104,"已到账"))</x:f>
      </x:c>
      <x:c r="I12" s="229" t="str">
        <x:f>IF(A12="","",SUMIFS('现金流水'!$H$5:$H$104,'现金流水'!$C$5:$C$104,A12,'现金流水'!$B$5:$B$104,"直接成本",'现金流水'!$J$5:$J$104,"已支付"))</x:f>
      </x:c>
      <x:c r="J12" s="228"/>
      <x:c r="K12" s="233"/>
      <x:c r="L12" s="229" t="str">
        <x:f>IF(A12="","",'说明与目标'!$B$16)</x:f>
      </x:c>
      <x:c r="M12" s="234" t="str">
        <x:f>IF(A12="","",K12*L12)</x:f>
      </x:c>
      <x:c r="N12" s="234" t="str">
        <x:f>IF(A12="","",H12-I12-J12)</x:f>
      </x:c>
      <x:c r="O12" s="234" t="str">
        <x:f>IF(A12="","",N12-M12)</x:f>
      </x:c>
      <x:c r="P12" s="235" t="str">
        <x:f>IFERROR(O12/H12,"")</x:f>
      </x:c>
      <x:c r="Q12" s="234" t="str">
        <x:f>IF(A12="","",MAX(0,G12-H12))</x:f>
      </x:c>
      <x:c r="R12" s="224"/>
      <x:c r="S12" s="224"/>
      <x:c r="T12" s="226"/>
    </x:row>
    <x:row r="13">
      <x:c r="A13" s="224"/>
      <x:c r="B13" s="224"/>
      <x:c r="C13" s="224"/>
      <x:c r="D13" s="225"/>
      <x:c r="E13" s="225"/>
      <x:c r="F13" s="224"/>
      <x:c r="G13" s="228"/>
      <x:c r="H13" s="229" t="str">
        <x:f>IF(A13="","",SUMIFS('现金流水'!$H$5:$H$104,'现金流水'!$C$5:$C$104,A13,'现金流水'!$B$5:$B$104,"收入",'现金流水'!$J$5:$J$104,"已到账"))</x:f>
      </x:c>
      <x:c r="I13" s="229" t="str">
        <x:f>IF(A13="","",SUMIFS('现金流水'!$H$5:$H$104,'现金流水'!$C$5:$C$104,A13,'现金流水'!$B$5:$B$104,"直接成本",'现金流水'!$J$5:$J$104,"已支付"))</x:f>
      </x:c>
      <x:c r="J13" s="228"/>
      <x:c r="K13" s="233"/>
      <x:c r="L13" s="229" t="str">
        <x:f>IF(A13="","",'说明与目标'!$B$16)</x:f>
      </x:c>
      <x:c r="M13" s="234" t="str">
        <x:f>IF(A13="","",K13*L13)</x:f>
      </x:c>
      <x:c r="N13" s="234" t="str">
        <x:f>IF(A13="","",H13-I13-J13)</x:f>
      </x:c>
      <x:c r="O13" s="234" t="str">
        <x:f>IF(A13="","",N13-M13)</x:f>
      </x:c>
      <x:c r="P13" s="235" t="str">
        <x:f>IFERROR(O13/H13,"")</x:f>
      </x:c>
      <x:c r="Q13" s="234" t="str">
        <x:f>IF(A13="","",MAX(0,G13-H13))</x:f>
      </x:c>
      <x:c r="R13" s="224"/>
      <x:c r="S13" s="224"/>
      <x:c r="T13" s="226"/>
    </x:row>
    <x:row r="14">
      <x:c r="A14" s="224"/>
      <x:c r="B14" s="224"/>
      <x:c r="C14" s="224"/>
      <x:c r="D14" s="225"/>
      <x:c r="E14" s="225"/>
      <x:c r="F14" s="224"/>
      <x:c r="G14" s="228"/>
      <x:c r="H14" s="229" t="str">
        <x:f>IF(A14="","",SUMIFS('现金流水'!$H$5:$H$104,'现金流水'!$C$5:$C$104,A14,'现金流水'!$B$5:$B$104,"收入",'现金流水'!$J$5:$J$104,"已到账"))</x:f>
      </x:c>
      <x:c r="I14" s="229" t="str">
        <x:f>IF(A14="","",SUMIFS('现金流水'!$H$5:$H$104,'现金流水'!$C$5:$C$104,A14,'现金流水'!$B$5:$B$104,"直接成本",'现金流水'!$J$5:$J$104,"已支付"))</x:f>
      </x:c>
      <x:c r="J14" s="228"/>
      <x:c r="K14" s="233"/>
      <x:c r="L14" s="229" t="str">
        <x:f>IF(A14="","",'说明与目标'!$B$16)</x:f>
      </x:c>
      <x:c r="M14" s="234" t="str">
        <x:f>IF(A14="","",K14*L14)</x:f>
      </x:c>
      <x:c r="N14" s="234" t="str">
        <x:f>IF(A14="","",H14-I14-J14)</x:f>
      </x:c>
      <x:c r="O14" s="234" t="str">
        <x:f>IF(A14="","",N14-M14)</x:f>
      </x:c>
      <x:c r="P14" s="235" t="str">
        <x:f>IFERROR(O14/H14,"")</x:f>
      </x:c>
      <x:c r="Q14" s="234" t="str">
        <x:f>IF(A14="","",MAX(0,G14-H14))</x:f>
      </x:c>
      <x:c r="R14" s="224"/>
      <x:c r="S14" s="224"/>
      <x:c r="T14" s="226"/>
    </x:row>
    <x:row r="15">
      <x:c r="A15" s="224"/>
      <x:c r="B15" s="224"/>
      <x:c r="C15" s="224"/>
      <x:c r="D15" s="225"/>
      <x:c r="E15" s="225"/>
      <x:c r="F15" s="224"/>
      <x:c r="G15" s="228"/>
      <x:c r="H15" s="229" t="str">
        <x:f>IF(A15="","",SUMIFS('现金流水'!$H$5:$H$104,'现金流水'!$C$5:$C$104,A15,'现金流水'!$B$5:$B$104,"收入",'现金流水'!$J$5:$J$104,"已到账"))</x:f>
      </x:c>
      <x:c r="I15" s="229" t="str">
        <x:f>IF(A15="","",SUMIFS('现金流水'!$H$5:$H$104,'现金流水'!$C$5:$C$104,A15,'现金流水'!$B$5:$B$104,"直接成本",'现金流水'!$J$5:$J$104,"已支付"))</x:f>
      </x:c>
      <x:c r="J15" s="228"/>
      <x:c r="K15" s="233"/>
      <x:c r="L15" s="229" t="str">
        <x:f>IF(A15="","",'说明与目标'!$B$16)</x:f>
      </x:c>
      <x:c r="M15" s="234" t="str">
        <x:f>IF(A15="","",K15*L15)</x:f>
      </x:c>
      <x:c r="N15" s="234" t="str">
        <x:f>IF(A15="","",H15-I15-J15)</x:f>
      </x:c>
      <x:c r="O15" s="234" t="str">
        <x:f>IF(A15="","",N15-M15)</x:f>
      </x:c>
      <x:c r="P15" s="235" t="str">
        <x:f>IFERROR(O15/H15,"")</x:f>
      </x:c>
      <x:c r="Q15" s="234" t="str">
        <x:f>IF(A15="","",MAX(0,G15-H15))</x:f>
      </x:c>
      <x:c r="R15" s="224"/>
      <x:c r="S15" s="224"/>
      <x:c r="T15" s="226"/>
    </x:row>
    <x:row r="16">
      <x:c r="A16" s="224"/>
      <x:c r="B16" s="224"/>
      <x:c r="C16" s="224"/>
      <x:c r="D16" s="225"/>
      <x:c r="E16" s="225"/>
      <x:c r="F16" s="224"/>
      <x:c r="G16" s="228"/>
      <x:c r="H16" s="229" t="str">
        <x:f>IF(A16="","",SUMIFS('现金流水'!$H$5:$H$104,'现金流水'!$C$5:$C$104,A16,'现金流水'!$B$5:$B$104,"收入",'现金流水'!$J$5:$J$104,"已到账"))</x:f>
      </x:c>
      <x:c r="I16" s="229" t="str">
        <x:f>IF(A16="","",SUMIFS('现金流水'!$H$5:$H$104,'现金流水'!$C$5:$C$104,A16,'现金流水'!$B$5:$B$104,"直接成本",'现金流水'!$J$5:$J$104,"已支付"))</x:f>
      </x:c>
      <x:c r="J16" s="228"/>
      <x:c r="K16" s="233"/>
      <x:c r="L16" s="229" t="str">
        <x:f>IF(A16="","",'说明与目标'!$B$16)</x:f>
      </x:c>
      <x:c r="M16" s="234" t="str">
        <x:f>IF(A16="","",K16*L16)</x:f>
      </x:c>
      <x:c r="N16" s="234" t="str">
        <x:f>IF(A16="","",H16-I16-J16)</x:f>
      </x:c>
      <x:c r="O16" s="234" t="str">
        <x:f>IF(A16="","",N16-M16)</x:f>
      </x:c>
      <x:c r="P16" s="235" t="str">
        <x:f>IFERROR(O16/H16,"")</x:f>
      </x:c>
      <x:c r="Q16" s="234" t="str">
        <x:f>IF(A16="","",MAX(0,G16-H16))</x:f>
      </x:c>
      <x:c r="R16" s="224"/>
      <x:c r="S16" s="224"/>
      <x:c r="T16" s="226"/>
    </x:row>
    <x:row r="17">
      <x:c r="A17" s="224"/>
      <x:c r="B17" s="224"/>
      <x:c r="C17" s="224"/>
      <x:c r="D17" s="225"/>
      <x:c r="E17" s="225"/>
      <x:c r="F17" s="224"/>
      <x:c r="G17" s="228"/>
      <x:c r="H17" s="229" t="str">
        <x:f>IF(A17="","",SUMIFS('现金流水'!$H$5:$H$104,'现金流水'!$C$5:$C$104,A17,'现金流水'!$B$5:$B$104,"收入",'现金流水'!$J$5:$J$104,"已到账"))</x:f>
      </x:c>
      <x:c r="I17" s="229" t="str">
        <x:f>IF(A17="","",SUMIFS('现金流水'!$H$5:$H$104,'现金流水'!$C$5:$C$104,A17,'现金流水'!$B$5:$B$104,"直接成本",'现金流水'!$J$5:$J$104,"已支付"))</x:f>
      </x:c>
      <x:c r="J17" s="228"/>
      <x:c r="K17" s="233"/>
      <x:c r="L17" s="229" t="str">
        <x:f>IF(A17="","",'说明与目标'!$B$16)</x:f>
      </x:c>
      <x:c r="M17" s="234" t="str">
        <x:f>IF(A17="","",K17*L17)</x:f>
      </x:c>
      <x:c r="N17" s="234" t="str">
        <x:f>IF(A17="","",H17-I17-J17)</x:f>
      </x:c>
      <x:c r="O17" s="234" t="str">
        <x:f>IF(A17="","",N17-M17)</x:f>
      </x:c>
      <x:c r="P17" s="235" t="str">
        <x:f>IFERROR(O17/H17,"")</x:f>
      </x:c>
      <x:c r="Q17" s="234" t="str">
        <x:f>IF(A17="","",MAX(0,G17-H17))</x:f>
      </x:c>
      <x:c r="R17" s="224"/>
      <x:c r="S17" s="224"/>
      <x:c r="T17" s="226"/>
    </x:row>
    <x:row r="18">
      <x:c r="A18" s="224"/>
      <x:c r="B18" s="224"/>
      <x:c r="C18" s="224"/>
      <x:c r="D18" s="225"/>
      <x:c r="E18" s="225"/>
      <x:c r="F18" s="224"/>
      <x:c r="G18" s="228"/>
      <x:c r="H18" s="229" t="str">
        <x:f>IF(A18="","",SUMIFS('现金流水'!$H$5:$H$104,'现金流水'!$C$5:$C$104,A18,'现金流水'!$B$5:$B$104,"收入",'现金流水'!$J$5:$J$104,"已到账"))</x:f>
      </x:c>
      <x:c r="I18" s="229" t="str">
        <x:f>IF(A18="","",SUMIFS('现金流水'!$H$5:$H$104,'现金流水'!$C$5:$C$104,A18,'现金流水'!$B$5:$B$104,"直接成本",'现金流水'!$J$5:$J$104,"已支付"))</x:f>
      </x:c>
      <x:c r="J18" s="228"/>
      <x:c r="K18" s="233"/>
      <x:c r="L18" s="229" t="str">
        <x:f>IF(A18="","",'说明与目标'!$B$16)</x:f>
      </x:c>
      <x:c r="M18" s="234" t="str">
        <x:f>IF(A18="","",K18*L18)</x:f>
      </x:c>
      <x:c r="N18" s="234" t="str">
        <x:f>IF(A18="","",H18-I18-J18)</x:f>
      </x:c>
      <x:c r="O18" s="234" t="str">
        <x:f>IF(A18="","",N18-M18)</x:f>
      </x:c>
      <x:c r="P18" s="235" t="str">
        <x:f>IFERROR(O18/H18,"")</x:f>
      </x:c>
      <x:c r="Q18" s="234" t="str">
        <x:f>IF(A18="","",MAX(0,G18-H18))</x:f>
      </x:c>
      <x:c r="R18" s="224"/>
      <x:c r="S18" s="224"/>
      <x:c r="T18" s="226"/>
    </x:row>
    <x:row r="19">
      <x:c r="A19" s="224"/>
      <x:c r="B19" s="224"/>
      <x:c r="C19" s="224"/>
      <x:c r="D19" s="225"/>
      <x:c r="E19" s="225"/>
      <x:c r="F19" s="224"/>
      <x:c r="G19" s="228"/>
      <x:c r="H19" s="229" t="str">
        <x:f>IF(A19="","",SUMIFS('现金流水'!$H$5:$H$104,'现金流水'!$C$5:$C$104,A19,'现金流水'!$B$5:$B$104,"收入",'现金流水'!$J$5:$J$104,"已到账"))</x:f>
      </x:c>
      <x:c r="I19" s="229" t="str">
        <x:f>IF(A19="","",SUMIFS('现金流水'!$H$5:$H$104,'现金流水'!$C$5:$C$104,A19,'现金流水'!$B$5:$B$104,"直接成本",'现金流水'!$J$5:$J$104,"已支付"))</x:f>
      </x:c>
      <x:c r="J19" s="228"/>
      <x:c r="K19" s="233"/>
      <x:c r="L19" s="229" t="str">
        <x:f>IF(A19="","",'说明与目标'!$B$16)</x:f>
      </x:c>
      <x:c r="M19" s="234" t="str">
        <x:f>IF(A19="","",K19*L19)</x:f>
      </x:c>
      <x:c r="N19" s="234" t="str">
        <x:f>IF(A19="","",H19-I19-J19)</x:f>
      </x:c>
      <x:c r="O19" s="234" t="str">
        <x:f>IF(A19="","",N19-M19)</x:f>
      </x:c>
      <x:c r="P19" s="235" t="str">
        <x:f>IFERROR(O19/H19,"")</x:f>
      </x:c>
      <x:c r="Q19" s="234" t="str">
        <x:f>IF(A19="","",MAX(0,G19-H19))</x:f>
      </x:c>
      <x:c r="R19" s="224"/>
      <x:c r="S19" s="224"/>
      <x:c r="T19" s="226"/>
    </x:row>
    <x:row r="20">
      <x:c r="A20" s="224"/>
      <x:c r="B20" s="224"/>
      <x:c r="C20" s="224"/>
      <x:c r="D20" s="225"/>
      <x:c r="E20" s="225"/>
      <x:c r="F20" s="224"/>
      <x:c r="G20" s="228"/>
      <x:c r="H20" s="229" t="str">
        <x:f>IF(A20="","",SUMIFS('现金流水'!$H$5:$H$104,'现金流水'!$C$5:$C$104,A20,'现金流水'!$B$5:$B$104,"收入",'现金流水'!$J$5:$J$104,"已到账"))</x:f>
      </x:c>
      <x:c r="I20" s="229" t="str">
        <x:f>IF(A20="","",SUMIFS('现金流水'!$H$5:$H$104,'现金流水'!$C$5:$C$104,A20,'现金流水'!$B$5:$B$104,"直接成本",'现金流水'!$J$5:$J$104,"已支付"))</x:f>
      </x:c>
      <x:c r="J20" s="228"/>
      <x:c r="K20" s="233"/>
      <x:c r="L20" s="229" t="str">
        <x:f>IF(A20="","",'说明与目标'!$B$16)</x:f>
      </x:c>
      <x:c r="M20" s="234" t="str">
        <x:f>IF(A20="","",K20*L20)</x:f>
      </x:c>
      <x:c r="N20" s="234" t="str">
        <x:f>IF(A20="","",H20-I20-J20)</x:f>
      </x:c>
      <x:c r="O20" s="234" t="str">
        <x:f>IF(A20="","",N20-M20)</x:f>
      </x:c>
      <x:c r="P20" s="235" t="str">
        <x:f>IFERROR(O20/H20,"")</x:f>
      </x:c>
      <x:c r="Q20" s="234" t="str">
        <x:f>IF(A20="","",MAX(0,G20-H20))</x:f>
      </x:c>
      <x:c r="R20" s="224"/>
      <x:c r="S20" s="224"/>
      <x:c r="T20" s="226"/>
    </x:row>
    <x:row r="21">
      <x:c r="A21" s="224"/>
      <x:c r="B21" s="224"/>
      <x:c r="C21" s="224"/>
      <x:c r="D21" s="225"/>
      <x:c r="E21" s="225"/>
      <x:c r="F21" s="224"/>
      <x:c r="G21" s="228"/>
      <x:c r="H21" s="229" t="str">
        <x:f>IF(A21="","",SUMIFS('现金流水'!$H$5:$H$104,'现金流水'!$C$5:$C$104,A21,'现金流水'!$B$5:$B$104,"收入",'现金流水'!$J$5:$J$104,"已到账"))</x:f>
      </x:c>
      <x:c r="I21" s="229" t="str">
        <x:f>IF(A21="","",SUMIFS('现金流水'!$H$5:$H$104,'现金流水'!$C$5:$C$104,A21,'现金流水'!$B$5:$B$104,"直接成本",'现金流水'!$J$5:$J$104,"已支付"))</x:f>
      </x:c>
      <x:c r="J21" s="228"/>
      <x:c r="K21" s="233"/>
      <x:c r="L21" s="229" t="str">
        <x:f>IF(A21="","",'说明与目标'!$B$16)</x:f>
      </x:c>
      <x:c r="M21" s="234" t="str">
        <x:f>IF(A21="","",K21*L21)</x:f>
      </x:c>
      <x:c r="N21" s="234" t="str">
        <x:f>IF(A21="","",H21-I21-J21)</x:f>
      </x:c>
      <x:c r="O21" s="234" t="str">
        <x:f>IF(A21="","",N21-M21)</x:f>
      </x:c>
      <x:c r="P21" s="235" t="str">
        <x:f>IFERROR(O21/H21,"")</x:f>
      </x:c>
      <x:c r="Q21" s="234" t="str">
        <x:f>IF(A21="","",MAX(0,G21-H21))</x:f>
      </x:c>
      <x:c r="R21" s="224"/>
      <x:c r="S21" s="224"/>
      <x:c r="T21" s="226"/>
    </x:row>
    <x:row r="22">
      <x:c r="A22" s="224"/>
      <x:c r="B22" s="224"/>
      <x:c r="C22" s="224"/>
      <x:c r="D22" s="225"/>
      <x:c r="E22" s="225"/>
      <x:c r="F22" s="224"/>
      <x:c r="G22" s="228"/>
      <x:c r="H22" s="229" t="str">
        <x:f>IF(A22="","",SUMIFS('现金流水'!$H$5:$H$104,'现金流水'!$C$5:$C$104,A22,'现金流水'!$B$5:$B$104,"收入",'现金流水'!$J$5:$J$104,"已到账"))</x:f>
      </x:c>
      <x:c r="I22" s="229" t="str">
        <x:f>IF(A22="","",SUMIFS('现金流水'!$H$5:$H$104,'现金流水'!$C$5:$C$104,A22,'现金流水'!$B$5:$B$104,"直接成本",'现金流水'!$J$5:$J$104,"已支付"))</x:f>
      </x:c>
      <x:c r="J22" s="228"/>
      <x:c r="K22" s="233"/>
      <x:c r="L22" s="229" t="str">
        <x:f>IF(A22="","",'说明与目标'!$B$16)</x:f>
      </x:c>
      <x:c r="M22" s="234" t="str">
        <x:f>IF(A22="","",K22*L22)</x:f>
      </x:c>
      <x:c r="N22" s="234" t="str">
        <x:f>IF(A22="","",H22-I22-J22)</x:f>
      </x:c>
      <x:c r="O22" s="234" t="str">
        <x:f>IF(A22="","",N22-M22)</x:f>
      </x:c>
      <x:c r="P22" s="235" t="str">
        <x:f>IFERROR(O22/H22,"")</x:f>
      </x:c>
      <x:c r="Q22" s="234" t="str">
        <x:f>IF(A22="","",MAX(0,G22-H22))</x:f>
      </x:c>
      <x:c r="R22" s="224"/>
      <x:c r="S22" s="224"/>
      <x:c r="T22" s="226"/>
    </x:row>
    <x:row r="23">
      <x:c r="A23" s="224"/>
      <x:c r="B23" s="224"/>
      <x:c r="C23" s="224"/>
      <x:c r="D23" s="225"/>
      <x:c r="E23" s="225"/>
      <x:c r="F23" s="224"/>
      <x:c r="G23" s="228"/>
      <x:c r="H23" s="229" t="str">
        <x:f>IF(A23="","",SUMIFS('现金流水'!$H$5:$H$104,'现金流水'!$C$5:$C$104,A23,'现金流水'!$B$5:$B$104,"收入",'现金流水'!$J$5:$J$104,"已到账"))</x:f>
      </x:c>
      <x:c r="I23" s="229" t="str">
        <x:f>IF(A23="","",SUMIFS('现金流水'!$H$5:$H$104,'现金流水'!$C$5:$C$104,A23,'现金流水'!$B$5:$B$104,"直接成本",'现金流水'!$J$5:$J$104,"已支付"))</x:f>
      </x:c>
      <x:c r="J23" s="228"/>
      <x:c r="K23" s="233"/>
      <x:c r="L23" s="229" t="str">
        <x:f>IF(A23="","",'说明与目标'!$B$16)</x:f>
      </x:c>
      <x:c r="M23" s="234" t="str">
        <x:f>IF(A23="","",K23*L23)</x:f>
      </x:c>
      <x:c r="N23" s="234" t="str">
        <x:f>IF(A23="","",H23-I23-J23)</x:f>
      </x:c>
      <x:c r="O23" s="234" t="str">
        <x:f>IF(A23="","",N23-M23)</x:f>
      </x:c>
      <x:c r="P23" s="235" t="str">
        <x:f>IFERROR(O23/H23,"")</x:f>
      </x:c>
      <x:c r="Q23" s="234" t="str">
        <x:f>IF(A23="","",MAX(0,G23-H23))</x:f>
      </x:c>
      <x:c r="R23" s="224"/>
      <x:c r="S23" s="224"/>
      <x:c r="T23" s="226"/>
    </x:row>
    <x:row r="24">
      <x:c r="A24" s="224"/>
      <x:c r="B24" s="224"/>
      <x:c r="C24" s="224"/>
      <x:c r="D24" s="225"/>
      <x:c r="E24" s="225"/>
      <x:c r="F24" s="224"/>
      <x:c r="G24" s="228"/>
      <x:c r="H24" s="229" t="str">
        <x:f>IF(A24="","",SUMIFS('现金流水'!$H$5:$H$104,'现金流水'!$C$5:$C$104,A24,'现金流水'!$B$5:$B$104,"收入",'现金流水'!$J$5:$J$104,"已到账"))</x:f>
      </x:c>
      <x:c r="I24" s="229" t="str">
        <x:f>IF(A24="","",SUMIFS('现金流水'!$H$5:$H$104,'现金流水'!$C$5:$C$104,A24,'现金流水'!$B$5:$B$104,"直接成本",'现金流水'!$J$5:$J$104,"已支付"))</x:f>
      </x:c>
      <x:c r="J24" s="228"/>
      <x:c r="K24" s="233"/>
      <x:c r="L24" s="229" t="str">
        <x:f>IF(A24="","",'说明与目标'!$B$16)</x:f>
      </x:c>
      <x:c r="M24" s="234" t="str">
        <x:f>IF(A24="","",K24*L24)</x:f>
      </x:c>
      <x:c r="N24" s="234" t="str">
        <x:f>IF(A24="","",H24-I24-J24)</x:f>
      </x:c>
      <x:c r="O24" s="234" t="str">
        <x:f>IF(A24="","",N24-M24)</x:f>
      </x:c>
      <x:c r="P24" s="235" t="str">
        <x:f>IFERROR(O24/H24,"")</x:f>
      </x:c>
      <x:c r="Q24" s="234" t="str">
        <x:f>IF(A24="","",MAX(0,G24-H24))</x:f>
      </x:c>
      <x:c r="R24" s="224"/>
      <x:c r="S24" s="224"/>
      <x:c r="T24" s="226"/>
    </x:row>
    <x:row r="25">
      <x:c r="A25" s="224"/>
      <x:c r="B25" s="224"/>
      <x:c r="C25" s="224"/>
      <x:c r="D25" s="225"/>
      <x:c r="E25" s="225"/>
      <x:c r="F25" s="224"/>
      <x:c r="G25" s="228"/>
      <x:c r="H25" s="229" t="str">
        <x:f>IF(A25="","",SUMIFS('现金流水'!$H$5:$H$104,'现金流水'!$C$5:$C$104,A25,'现金流水'!$B$5:$B$104,"收入",'现金流水'!$J$5:$J$104,"已到账"))</x:f>
      </x:c>
      <x:c r="I25" s="229" t="str">
        <x:f>IF(A25="","",SUMIFS('现金流水'!$H$5:$H$104,'现金流水'!$C$5:$C$104,A25,'现金流水'!$B$5:$B$104,"直接成本",'现金流水'!$J$5:$J$104,"已支付"))</x:f>
      </x:c>
      <x:c r="J25" s="228"/>
      <x:c r="K25" s="233"/>
      <x:c r="L25" s="229" t="str">
        <x:f>IF(A25="","",'说明与目标'!$B$16)</x:f>
      </x:c>
      <x:c r="M25" s="234" t="str">
        <x:f>IF(A25="","",K25*L25)</x:f>
      </x:c>
      <x:c r="N25" s="234" t="str">
        <x:f>IF(A25="","",H25-I25-J25)</x:f>
      </x:c>
      <x:c r="O25" s="234" t="str">
        <x:f>IF(A25="","",N25-M25)</x:f>
      </x:c>
      <x:c r="P25" s="235" t="str">
        <x:f>IFERROR(O25/H25,"")</x:f>
      </x:c>
      <x:c r="Q25" s="234" t="str">
        <x:f>IF(A25="","",MAX(0,G25-H25))</x:f>
      </x:c>
      <x:c r="R25" s="224"/>
      <x:c r="S25" s="224"/>
      <x:c r="T25" s="226"/>
    </x:row>
    <x:row r="26">
      <x:c r="A26" s="224"/>
      <x:c r="B26" s="224"/>
      <x:c r="C26" s="224"/>
      <x:c r="D26" s="225"/>
      <x:c r="E26" s="225"/>
      <x:c r="F26" s="224"/>
      <x:c r="G26" s="228"/>
      <x:c r="H26" s="229" t="str">
        <x:f>IF(A26="","",SUMIFS('现金流水'!$H$5:$H$104,'现金流水'!$C$5:$C$104,A26,'现金流水'!$B$5:$B$104,"收入",'现金流水'!$J$5:$J$104,"已到账"))</x:f>
      </x:c>
      <x:c r="I26" s="229" t="str">
        <x:f>IF(A26="","",SUMIFS('现金流水'!$H$5:$H$104,'现金流水'!$C$5:$C$104,A26,'现金流水'!$B$5:$B$104,"直接成本",'现金流水'!$J$5:$J$104,"已支付"))</x:f>
      </x:c>
      <x:c r="J26" s="228"/>
      <x:c r="K26" s="233"/>
      <x:c r="L26" s="229" t="str">
        <x:f>IF(A26="","",'说明与目标'!$B$16)</x:f>
      </x:c>
      <x:c r="M26" s="234" t="str">
        <x:f>IF(A26="","",K26*L26)</x:f>
      </x:c>
      <x:c r="N26" s="234" t="str">
        <x:f>IF(A26="","",H26-I26-J26)</x:f>
      </x:c>
      <x:c r="O26" s="234" t="str">
        <x:f>IF(A26="","",N26-M26)</x:f>
      </x:c>
      <x:c r="P26" s="235" t="str">
        <x:f>IFERROR(O26/H26,"")</x:f>
      </x:c>
      <x:c r="Q26" s="234" t="str">
        <x:f>IF(A26="","",MAX(0,G26-H26))</x:f>
      </x:c>
      <x:c r="R26" s="224"/>
      <x:c r="S26" s="224"/>
      <x:c r="T26" s="226"/>
    </x:row>
    <x:row r="27">
      <x:c r="A27" s="224"/>
      <x:c r="B27" s="224"/>
      <x:c r="C27" s="224"/>
      <x:c r="D27" s="225"/>
      <x:c r="E27" s="225"/>
      <x:c r="F27" s="224"/>
      <x:c r="G27" s="228"/>
      <x:c r="H27" s="229" t="str">
        <x:f>IF(A27="","",SUMIFS('现金流水'!$H$5:$H$104,'现金流水'!$C$5:$C$104,A27,'现金流水'!$B$5:$B$104,"收入",'现金流水'!$J$5:$J$104,"已到账"))</x:f>
      </x:c>
      <x:c r="I27" s="229" t="str">
        <x:f>IF(A27="","",SUMIFS('现金流水'!$H$5:$H$104,'现金流水'!$C$5:$C$104,A27,'现金流水'!$B$5:$B$104,"直接成本",'现金流水'!$J$5:$J$104,"已支付"))</x:f>
      </x:c>
      <x:c r="J27" s="228"/>
      <x:c r="K27" s="233"/>
      <x:c r="L27" s="229" t="str">
        <x:f>IF(A27="","",'说明与目标'!$B$16)</x:f>
      </x:c>
      <x:c r="M27" s="234" t="str">
        <x:f>IF(A27="","",K27*L27)</x:f>
      </x:c>
      <x:c r="N27" s="234" t="str">
        <x:f>IF(A27="","",H27-I27-J27)</x:f>
      </x:c>
      <x:c r="O27" s="234" t="str">
        <x:f>IF(A27="","",N27-M27)</x:f>
      </x:c>
      <x:c r="P27" s="235" t="str">
        <x:f>IFERROR(O27/H27,"")</x:f>
      </x:c>
      <x:c r="Q27" s="234" t="str">
        <x:f>IF(A27="","",MAX(0,G27-H27))</x:f>
      </x:c>
      <x:c r="R27" s="224"/>
      <x:c r="S27" s="224"/>
      <x:c r="T27" s="226"/>
    </x:row>
    <x:row r="28">
      <x:c r="A28" s="224"/>
      <x:c r="B28" s="224"/>
      <x:c r="C28" s="224"/>
      <x:c r="D28" s="225"/>
      <x:c r="E28" s="225"/>
      <x:c r="F28" s="224"/>
      <x:c r="G28" s="228"/>
      <x:c r="H28" s="229" t="str">
        <x:f>IF(A28="","",SUMIFS('现金流水'!$H$5:$H$104,'现金流水'!$C$5:$C$104,A28,'现金流水'!$B$5:$B$104,"收入",'现金流水'!$J$5:$J$104,"已到账"))</x:f>
      </x:c>
      <x:c r="I28" s="229" t="str">
        <x:f>IF(A28="","",SUMIFS('现金流水'!$H$5:$H$104,'现金流水'!$C$5:$C$104,A28,'现金流水'!$B$5:$B$104,"直接成本",'现金流水'!$J$5:$J$104,"已支付"))</x:f>
      </x:c>
      <x:c r="J28" s="228"/>
      <x:c r="K28" s="233"/>
      <x:c r="L28" s="229" t="str">
        <x:f>IF(A28="","",'说明与目标'!$B$16)</x:f>
      </x:c>
      <x:c r="M28" s="234" t="str">
        <x:f>IF(A28="","",K28*L28)</x:f>
      </x:c>
      <x:c r="N28" s="234" t="str">
        <x:f>IF(A28="","",H28-I28-J28)</x:f>
      </x:c>
      <x:c r="O28" s="234" t="str">
        <x:f>IF(A28="","",N28-M28)</x:f>
      </x:c>
      <x:c r="P28" s="235" t="str">
        <x:f>IFERROR(O28/H28,"")</x:f>
      </x:c>
      <x:c r="Q28" s="234" t="str">
        <x:f>IF(A28="","",MAX(0,G28-H28))</x:f>
      </x:c>
      <x:c r="R28" s="224"/>
      <x:c r="S28" s="224"/>
      <x:c r="T28" s="226"/>
    </x:row>
    <x:row r="29">
      <x:c r="A29" s="224"/>
      <x:c r="B29" s="224"/>
      <x:c r="C29" s="224"/>
      <x:c r="D29" s="225"/>
      <x:c r="E29" s="225"/>
      <x:c r="F29" s="224"/>
      <x:c r="G29" s="228"/>
      <x:c r="H29" s="229" t="str">
        <x:f>IF(A29="","",SUMIFS('现金流水'!$H$5:$H$104,'现金流水'!$C$5:$C$104,A29,'现金流水'!$B$5:$B$104,"收入",'现金流水'!$J$5:$J$104,"已到账"))</x:f>
      </x:c>
      <x:c r="I29" s="229" t="str">
        <x:f>IF(A29="","",SUMIFS('现金流水'!$H$5:$H$104,'现金流水'!$C$5:$C$104,A29,'现金流水'!$B$5:$B$104,"直接成本",'现金流水'!$J$5:$J$104,"已支付"))</x:f>
      </x:c>
      <x:c r="J29" s="228"/>
      <x:c r="K29" s="233"/>
      <x:c r="L29" s="229" t="str">
        <x:f>IF(A29="","",'说明与目标'!$B$16)</x:f>
      </x:c>
      <x:c r="M29" s="234" t="str">
        <x:f>IF(A29="","",K29*L29)</x:f>
      </x:c>
      <x:c r="N29" s="234" t="str">
        <x:f>IF(A29="","",H29-I29-J29)</x:f>
      </x:c>
      <x:c r="O29" s="234" t="str">
        <x:f>IF(A29="","",N29-M29)</x:f>
      </x:c>
      <x:c r="P29" s="235" t="str">
        <x:f>IFERROR(O29/H29,"")</x:f>
      </x:c>
      <x:c r="Q29" s="234" t="str">
        <x:f>IF(A29="","",MAX(0,G29-H29))</x:f>
      </x:c>
      <x:c r="R29" s="224"/>
      <x:c r="S29" s="224"/>
      <x:c r="T29" s="226"/>
    </x:row>
    <x:row r="30">
      <x:c r="A30" s="224"/>
      <x:c r="B30" s="224"/>
      <x:c r="C30" s="224"/>
      <x:c r="D30" s="225"/>
      <x:c r="E30" s="225"/>
      <x:c r="F30" s="224"/>
      <x:c r="G30" s="228"/>
      <x:c r="H30" s="229" t="str">
        <x:f>IF(A30="","",SUMIFS('现金流水'!$H$5:$H$104,'现金流水'!$C$5:$C$104,A30,'现金流水'!$B$5:$B$104,"收入",'现金流水'!$J$5:$J$104,"已到账"))</x:f>
      </x:c>
      <x:c r="I30" s="229" t="str">
        <x:f>IF(A30="","",SUMIFS('现金流水'!$H$5:$H$104,'现金流水'!$C$5:$C$104,A30,'现金流水'!$B$5:$B$104,"直接成本",'现金流水'!$J$5:$J$104,"已支付"))</x:f>
      </x:c>
      <x:c r="J30" s="228"/>
      <x:c r="K30" s="233"/>
      <x:c r="L30" s="229" t="str">
        <x:f>IF(A30="","",'说明与目标'!$B$16)</x:f>
      </x:c>
      <x:c r="M30" s="234" t="str">
        <x:f>IF(A30="","",K30*L30)</x:f>
      </x:c>
      <x:c r="N30" s="234" t="str">
        <x:f>IF(A30="","",H30-I30-J30)</x:f>
      </x:c>
      <x:c r="O30" s="234" t="str">
        <x:f>IF(A30="","",N30-M30)</x:f>
      </x:c>
      <x:c r="P30" s="235" t="str">
        <x:f>IFERROR(O30/H30,"")</x:f>
      </x:c>
      <x:c r="Q30" s="234" t="str">
        <x:f>IF(A30="","",MAX(0,G30-H30))</x:f>
      </x:c>
      <x:c r="R30" s="224"/>
      <x:c r="S30" s="224"/>
      <x:c r="T30" s="226"/>
    </x:row>
    <x:row r="31">
      <x:c r="A31" s="224"/>
      <x:c r="B31" s="224"/>
      <x:c r="C31" s="224"/>
      <x:c r="D31" s="225"/>
      <x:c r="E31" s="225"/>
      <x:c r="F31" s="224"/>
      <x:c r="G31" s="228"/>
      <x:c r="H31" s="229" t="str">
        <x:f>IF(A31="","",SUMIFS('现金流水'!$H$5:$H$104,'现金流水'!$C$5:$C$104,A31,'现金流水'!$B$5:$B$104,"收入",'现金流水'!$J$5:$J$104,"已到账"))</x:f>
      </x:c>
      <x:c r="I31" s="229" t="str">
        <x:f>IF(A31="","",SUMIFS('现金流水'!$H$5:$H$104,'现金流水'!$C$5:$C$104,A31,'现金流水'!$B$5:$B$104,"直接成本",'现金流水'!$J$5:$J$104,"已支付"))</x:f>
      </x:c>
      <x:c r="J31" s="228"/>
      <x:c r="K31" s="233"/>
      <x:c r="L31" s="229" t="str">
        <x:f>IF(A31="","",'说明与目标'!$B$16)</x:f>
      </x:c>
      <x:c r="M31" s="234" t="str">
        <x:f>IF(A31="","",K31*L31)</x:f>
      </x:c>
      <x:c r="N31" s="234" t="str">
        <x:f>IF(A31="","",H31-I31-J31)</x:f>
      </x:c>
      <x:c r="O31" s="234" t="str">
        <x:f>IF(A31="","",N31-M31)</x:f>
      </x:c>
      <x:c r="P31" s="235" t="str">
        <x:f>IFERROR(O31/H31,"")</x:f>
      </x:c>
      <x:c r="Q31" s="234" t="str">
        <x:f>IF(A31="","",MAX(0,G31-H31))</x:f>
      </x:c>
      <x:c r="R31" s="224"/>
      <x:c r="S31" s="224"/>
      <x:c r="T31" s="226"/>
    </x:row>
    <x:row r="32">
      <x:c r="A32" s="224"/>
      <x:c r="B32" s="224"/>
      <x:c r="C32" s="224"/>
      <x:c r="D32" s="225"/>
      <x:c r="E32" s="225"/>
      <x:c r="F32" s="224"/>
      <x:c r="G32" s="228"/>
      <x:c r="H32" s="229" t="str">
        <x:f>IF(A32="","",SUMIFS('现金流水'!$H$5:$H$104,'现金流水'!$C$5:$C$104,A32,'现金流水'!$B$5:$B$104,"收入",'现金流水'!$J$5:$J$104,"已到账"))</x:f>
      </x:c>
      <x:c r="I32" s="229" t="str">
        <x:f>IF(A32="","",SUMIFS('现金流水'!$H$5:$H$104,'现金流水'!$C$5:$C$104,A32,'现金流水'!$B$5:$B$104,"直接成本",'现金流水'!$J$5:$J$104,"已支付"))</x:f>
      </x:c>
      <x:c r="J32" s="228"/>
      <x:c r="K32" s="233"/>
      <x:c r="L32" s="229" t="str">
        <x:f>IF(A32="","",'说明与目标'!$B$16)</x:f>
      </x:c>
      <x:c r="M32" s="234" t="str">
        <x:f>IF(A32="","",K32*L32)</x:f>
      </x:c>
      <x:c r="N32" s="234" t="str">
        <x:f>IF(A32="","",H32-I32-J32)</x:f>
      </x:c>
      <x:c r="O32" s="234" t="str">
        <x:f>IF(A32="","",N32-M32)</x:f>
      </x:c>
      <x:c r="P32" s="235" t="str">
        <x:f>IFERROR(O32/H32,"")</x:f>
      </x:c>
      <x:c r="Q32" s="234" t="str">
        <x:f>IF(A32="","",MAX(0,G32-H32))</x:f>
      </x:c>
      <x:c r="R32" s="224"/>
      <x:c r="S32" s="224"/>
      <x:c r="T32" s="226"/>
    </x:row>
    <x:row r="33">
      <x:c r="A33" s="224"/>
      <x:c r="B33" s="224"/>
      <x:c r="C33" s="224"/>
      <x:c r="D33" s="225"/>
      <x:c r="E33" s="225"/>
      <x:c r="F33" s="224"/>
      <x:c r="G33" s="228"/>
      <x:c r="H33" s="229" t="str">
        <x:f>IF(A33="","",SUMIFS('现金流水'!$H$5:$H$104,'现金流水'!$C$5:$C$104,A33,'现金流水'!$B$5:$B$104,"收入",'现金流水'!$J$5:$J$104,"已到账"))</x:f>
      </x:c>
      <x:c r="I33" s="229" t="str">
        <x:f>IF(A33="","",SUMIFS('现金流水'!$H$5:$H$104,'现金流水'!$C$5:$C$104,A33,'现金流水'!$B$5:$B$104,"直接成本",'现金流水'!$J$5:$J$104,"已支付"))</x:f>
      </x:c>
      <x:c r="J33" s="228"/>
      <x:c r="K33" s="233"/>
      <x:c r="L33" s="229" t="str">
        <x:f>IF(A33="","",'说明与目标'!$B$16)</x:f>
      </x:c>
      <x:c r="M33" s="234" t="str">
        <x:f>IF(A33="","",K33*L33)</x:f>
      </x:c>
      <x:c r="N33" s="234" t="str">
        <x:f>IF(A33="","",H33-I33-J33)</x:f>
      </x:c>
      <x:c r="O33" s="234" t="str">
        <x:f>IF(A33="","",N33-M33)</x:f>
      </x:c>
      <x:c r="P33" s="235" t="str">
        <x:f>IFERROR(O33/H33,"")</x:f>
      </x:c>
      <x:c r="Q33" s="234" t="str">
        <x:f>IF(A33="","",MAX(0,G33-H33))</x:f>
      </x:c>
      <x:c r="R33" s="224"/>
      <x:c r="S33" s="224"/>
      <x:c r="T33" s="226"/>
    </x:row>
    <x:row r="34">
      <x:c r="A34" s="224"/>
      <x:c r="B34" s="224"/>
      <x:c r="C34" s="224"/>
      <x:c r="D34" s="225"/>
      <x:c r="E34" s="225"/>
      <x:c r="F34" s="224"/>
      <x:c r="G34" s="228"/>
      <x:c r="H34" s="229" t="str">
        <x:f>IF(A34="","",SUMIFS('现金流水'!$H$5:$H$104,'现金流水'!$C$5:$C$104,A34,'现金流水'!$B$5:$B$104,"收入",'现金流水'!$J$5:$J$104,"已到账"))</x:f>
      </x:c>
      <x:c r="I34" s="229" t="str">
        <x:f>IF(A34="","",SUMIFS('现金流水'!$H$5:$H$104,'现金流水'!$C$5:$C$104,A34,'现金流水'!$B$5:$B$104,"直接成本",'现金流水'!$J$5:$J$104,"已支付"))</x:f>
      </x:c>
      <x:c r="J34" s="228"/>
      <x:c r="K34" s="233"/>
      <x:c r="L34" s="229" t="str">
        <x:f>IF(A34="","",'说明与目标'!$B$16)</x:f>
      </x:c>
      <x:c r="M34" s="234" t="str">
        <x:f>IF(A34="","",K34*L34)</x:f>
      </x:c>
      <x:c r="N34" s="234" t="str">
        <x:f>IF(A34="","",H34-I34-J34)</x:f>
      </x:c>
      <x:c r="O34" s="234" t="str">
        <x:f>IF(A34="","",N34-M34)</x:f>
      </x:c>
      <x:c r="P34" s="235" t="str">
        <x:f>IFERROR(O34/H34,"")</x:f>
      </x:c>
      <x:c r="Q34" s="234" t="str">
        <x:f>IF(A34="","",MAX(0,G34-H34))</x:f>
      </x:c>
      <x:c r="R34" s="224"/>
      <x:c r="S34" s="224"/>
      <x:c r="T34" s="226"/>
    </x:row>
    <x:row r="35">
      <x:c r="A35" s="224"/>
      <x:c r="B35" s="224"/>
      <x:c r="C35" s="224"/>
      <x:c r="D35" s="225"/>
      <x:c r="E35" s="225"/>
      <x:c r="F35" s="224"/>
      <x:c r="G35" s="228"/>
      <x:c r="H35" s="229" t="str">
        <x:f>IF(A35="","",SUMIFS('现金流水'!$H$5:$H$104,'现金流水'!$C$5:$C$104,A35,'现金流水'!$B$5:$B$104,"收入",'现金流水'!$J$5:$J$104,"已到账"))</x:f>
      </x:c>
      <x:c r="I35" s="229" t="str">
        <x:f>IF(A35="","",SUMIFS('现金流水'!$H$5:$H$104,'现金流水'!$C$5:$C$104,A35,'现金流水'!$B$5:$B$104,"直接成本",'现金流水'!$J$5:$J$104,"已支付"))</x:f>
      </x:c>
      <x:c r="J35" s="228"/>
      <x:c r="K35" s="233"/>
      <x:c r="L35" s="229" t="str">
        <x:f>IF(A35="","",'说明与目标'!$B$16)</x:f>
      </x:c>
      <x:c r="M35" s="234" t="str">
        <x:f>IF(A35="","",K35*L35)</x:f>
      </x:c>
      <x:c r="N35" s="234" t="str">
        <x:f>IF(A35="","",H35-I35-J35)</x:f>
      </x:c>
      <x:c r="O35" s="234" t="str">
        <x:f>IF(A35="","",N35-M35)</x:f>
      </x:c>
      <x:c r="P35" s="235" t="str">
        <x:f>IFERROR(O35/H35,"")</x:f>
      </x:c>
      <x:c r="Q35" s="234" t="str">
        <x:f>IF(A35="","",MAX(0,G35-H35))</x:f>
      </x:c>
      <x:c r="R35" s="224"/>
      <x:c r="S35" s="224"/>
      <x:c r="T35" s="226"/>
    </x:row>
    <x:row r="36">
      <x:c r="A36" s="224"/>
      <x:c r="B36" s="224"/>
      <x:c r="C36" s="224"/>
      <x:c r="D36" s="225"/>
      <x:c r="E36" s="225"/>
      <x:c r="F36" s="224"/>
      <x:c r="G36" s="228"/>
      <x:c r="H36" s="229" t="str">
        <x:f>IF(A36="","",SUMIFS('现金流水'!$H$5:$H$104,'现金流水'!$C$5:$C$104,A36,'现金流水'!$B$5:$B$104,"收入",'现金流水'!$J$5:$J$104,"已到账"))</x:f>
      </x:c>
      <x:c r="I36" s="229" t="str">
        <x:f>IF(A36="","",SUMIFS('现金流水'!$H$5:$H$104,'现金流水'!$C$5:$C$104,A36,'现金流水'!$B$5:$B$104,"直接成本",'现金流水'!$J$5:$J$104,"已支付"))</x:f>
      </x:c>
      <x:c r="J36" s="228"/>
      <x:c r="K36" s="233"/>
      <x:c r="L36" s="229" t="str">
        <x:f>IF(A36="","",'说明与目标'!$B$16)</x:f>
      </x:c>
      <x:c r="M36" s="234" t="str">
        <x:f>IF(A36="","",K36*L36)</x:f>
      </x:c>
      <x:c r="N36" s="234" t="str">
        <x:f>IF(A36="","",H36-I36-J36)</x:f>
      </x:c>
      <x:c r="O36" s="234" t="str">
        <x:f>IF(A36="","",N36-M36)</x:f>
      </x:c>
      <x:c r="P36" s="235" t="str">
        <x:f>IFERROR(O36/H36,"")</x:f>
      </x:c>
      <x:c r="Q36" s="234" t="str">
        <x:f>IF(A36="","",MAX(0,G36-H36))</x:f>
      </x:c>
      <x:c r="R36" s="224"/>
      <x:c r="S36" s="224"/>
      <x:c r="T36" s="226"/>
    </x:row>
    <x:row r="37">
      <x:c r="A37" s="224"/>
      <x:c r="B37" s="224"/>
      <x:c r="C37" s="224"/>
      <x:c r="D37" s="225"/>
      <x:c r="E37" s="225"/>
      <x:c r="F37" s="224"/>
      <x:c r="G37" s="228"/>
      <x:c r="H37" s="229" t="str">
        <x:f>IF(A37="","",SUMIFS('现金流水'!$H$5:$H$104,'现金流水'!$C$5:$C$104,A37,'现金流水'!$B$5:$B$104,"收入",'现金流水'!$J$5:$J$104,"已到账"))</x:f>
      </x:c>
      <x:c r="I37" s="229" t="str">
        <x:f>IF(A37="","",SUMIFS('现金流水'!$H$5:$H$104,'现金流水'!$C$5:$C$104,A37,'现金流水'!$B$5:$B$104,"直接成本",'现金流水'!$J$5:$J$104,"已支付"))</x:f>
      </x:c>
      <x:c r="J37" s="228"/>
      <x:c r="K37" s="233"/>
      <x:c r="L37" s="229" t="str">
        <x:f>IF(A37="","",'说明与目标'!$B$16)</x:f>
      </x:c>
      <x:c r="M37" s="234" t="str">
        <x:f>IF(A37="","",K37*L37)</x:f>
      </x:c>
      <x:c r="N37" s="234" t="str">
        <x:f>IF(A37="","",H37-I37-J37)</x:f>
      </x:c>
      <x:c r="O37" s="234" t="str">
        <x:f>IF(A37="","",N37-M37)</x:f>
      </x:c>
      <x:c r="P37" s="235" t="str">
        <x:f>IFERROR(O37/H37,"")</x:f>
      </x:c>
      <x:c r="Q37" s="234" t="str">
        <x:f>IF(A37="","",MAX(0,G37-H37))</x:f>
      </x:c>
      <x:c r="R37" s="224"/>
      <x:c r="S37" s="224"/>
      <x:c r="T37" s="226"/>
    </x:row>
    <x:row r="38">
      <x:c r="A38" s="224"/>
      <x:c r="B38" s="224"/>
      <x:c r="C38" s="224"/>
      <x:c r="D38" s="225"/>
      <x:c r="E38" s="225"/>
      <x:c r="F38" s="224"/>
      <x:c r="G38" s="228"/>
      <x:c r="H38" s="229" t="str">
        <x:f>IF(A38="","",SUMIFS('现金流水'!$H$5:$H$104,'现金流水'!$C$5:$C$104,A38,'现金流水'!$B$5:$B$104,"收入",'现金流水'!$J$5:$J$104,"已到账"))</x:f>
      </x:c>
      <x:c r="I38" s="229" t="str">
        <x:f>IF(A38="","",SUMIFS('现金流水'!$H$5:$H$104,'现金流水'!$C$5:$C$104,A38,'现金流水'!$B$5:$B$104,"直接成本",'现金流水'!$J$5:$J$104,"已支付"))</x:f>
      </x:c>
      <x:c r="J38" s="228"/>
      <x:c r="K38" s="233"/>
      <x:c r="L38" s="229" t="str">
        <x:f>IF(A38="","",'说明与目标'!$B$16)</x:f>
      </x:c>
      <x:c r="M38" s="234" t="str">
        <x:f>IF(A38="","",K38*L38)</x:f>
      </x:c>
      <x:c r="N38" s="234" t="str">
        <x:f>IF(A38="","",H38-I38-J38)</x:f>
      </x:c>
      <x:c r="O38" s="234" t="str">
        <x:f>IF(A38="","",N38-M38)</x:f>
      </x:c>
      <x:c r="P38" s="235" t="str">
        <x:f>IFERROR(O38/H38,"")</x:f>
      </x:c>
      <x:c r="Q38" s="234" t="str">
        <x:f>IF(A38="","",MAX(0,G38-H38))</x:f>
      </x:c>
      <x:c r="R38" s="224"/>
      <x:c r="S38" s="224"/>
      <x:c r="T38" s="226"/>
    </x:row>
    <x:row r="39">
      <x:c r="A39" s="224"/>
      <x:c r="B39" s="224"/>
      <x:c r="C39" s="224"/>
      <x:c r="D39" s="225"/>
      <x:c r="E39" s="225"/>
      <x:c r="F39" s="224"/>
      <x:c r="G39" s="228"/>
      <x:c r="H39" s="229" t="str">
        <x:f>IF(A39="","",SUMIFS('现金流水'!$H$5:$H$104,'现金流水'!$C$5:$C$104,A39,'现金流水'!$B$5:$B$104,"收入",'现金流水'!$J$5:$J$104,"已到账"))</x:f>
      </x:c>
      <x:c r="I39" s="229" t="str">
        <x:f>IF(A39="","",SUMIFS('现金流水'!$H$5:$H$104,'现金流水'!$C$5:$C$104,A39,'现金流水'!$B$5:$B$104,"直接成本",'现金流水'!$J$5:$J$104,"已支付"))</x:f>
      </x:c>
      <x:c r="J39" s="228"/>
      <x:c r="K39" s="233"/>
      <x:c r="L39" s="229" t="str">
        <x:f>IF(A39="","",'说明与目标'!$B$16)</x:f>
      </x:c>
      <x:c r="M39" s="234" t="str">
        <x:f>IF(A39="","",K39*L39)</x:f>
      </x:c>
      <x:c r="N39" s="234" t="str">
        <x:f>IF(A39="","",H39-I39-J39)</x:f>
      </x:c>
      <x:c r="O39" s="234" t="str">
        <x:f>IF(A39="","",N39-M39)</x:f>
      </x:c>
      <x:c r="P39" s="235" t="str">
        <x:f>IFERROR(O39/H39,"")</x:f>
      </x:c>
      <x:c r="Q39" s="234" t="str">
        <x:f>IF(A39="","",MAX(0,G39-H39))</x:f>
      </x:c>
      <x:c r="R39" s="224"/>
      <x:c r="S39" s="224"/>
      <x:c r="T39" s="226"/>
    </x:row>
    <x:row r="40">
      <x:c r="A40" s="224"/>
      <x:c r="B40" s="224"/>
      <x:c r="C40" s="224"/>
      <x:c r="D40" s="225"/>
      <x:c r="E40" s="225"/>
      <x:c r="F40" s="224"/>
      <x:c r="G40" s="228"/>
      <x:c r="H40" s="229" t="str">
        <x:f>IF(A40="","",SUMIFS('现金流水'!$H$5:$H$104,'现金流水'!$C$5:$C$104,A40,'现金流水'!$B$5:$B$104,"收入",'现金流水'!$J$5:$J$104,"已到账"))</x:f>
      </x:c>
      <x:c r="I40" s="229" t="str">
        <x:f>IF(A40="","",SUMIFS('现金流水'!$H$5:$H$104,'现金流水'!$C$5:$C$104,A40,'现金流水'!$B$5:$B$104,"直接成本",'现金流水'!$J$5:$J$104,"已支付"))</x:f>
      </x:c>
      <x:c r="J40" s="228"/>
      <x:c r="K40" s="233"/>
      <x:c r="L40" s="229" t="str">
        <x:f>IF(A40="","",'说明与目标'!$B$16)</x:f>
      </x:c>
      <x:c r="M40" s="234" t="str">
        <x:f>IF(A40="","",K40*L40)</x:f>
      </x:c>
      <x:c r="N40" s="234" t="str">
        <x:f>IF(A40="","",H40-I40-J40)</x:f>
      </x:c>
      <x:c r="O40" s="234" t="str">
        <x:f>IF(A40="","",N40-M40)</x:f>
      </x:c>
      <x:c r="P40" s="235" t="str">
        <x:f>IFERROR(O40/H40,"")</x:f>
      </x:c>
      <x:c r="Q40" s="234" t="str">
        <x:f>IF(A40="","",MAX(0,G40-H40))</x:f>
      </x:c>
      <x:c r="R40" s="224"/>
      <x:c r="S40" s="224"/>
      <x:c r="T40" s="226"/>
    </x:row>
    <x:row r="41">
      <x:c r="A41" s="224"/>
      <x:c r="B41" s="224"/>
      <x:c r="C41" s="224"/>
      <x:c r="D41" s="225"/>
      <x:c r="E41" s="225"/>
      <x:c r="F41" s="224"/>
      <x:c r="G41" s="228"/>
      <x:c r="H41" s="229" t="str">
        <x:f>IF(A41="","",SUMIFS('现金流水'!$H$5:$H$104,'现金流水'!$C$5:$C$104,A41,'现金流水'!$B$5:$B$104,"收入",'现金流水'!$J$5:$J$104,"已到账"))</x:f>
      </x:c>
      <x:c r="I41" s="229" t="str">
        <x:f>IF(A41="","",SUMIFS('现金流水'!$H$5:$H$104,'现金流水'!$C$5:$C$104,A41,'现金流水'!$B$5:$B$104,"直接成本",'现金流水'!$J$5:$J$104,"已支付"))</x:f>
      </x:c>
      <x:c r="J41" s="228"/>
      <x:c r="K41" s="233"/>
      <x:c r="L41" s="229" t="str">
        <x:f>IF(A41="","",'说明与目标'!$B$16)</x:f>
      </x:c>
      <x:c r="M41" s="234" t="str">
        <x:f>IF(A41="","",K41*L41)</x:f>
      </x:c>
      <x:c r="N41" s="234" t="str">
        <x:f>IF(A41="","",H41-I41-J41)</x:f>
      </x:c>
      <x:c r="O41" s="234" t="str">
        <x:f>IF(A41="","",N41-M41)</x:f>
      </x:c>
      <x:c r="P41" s="235" t="str">
        <x:f>IFERROR(O41/H41,"")</x:f>
      </x:c>
      <x:c r="Q41" s="234" t="str">
        <x:f>IF(A41="","",MAX(0,G41-H41))</x:f>
      </x:c>
      <x:c r="R41" s="224"/>
      <x:c r="S41" s="224"/>
      <x:c r="T41" s="226"/>
    </x:row>
    <x:row r="42">
      <x:c r="A42" s="224"/>
      <x:c r="B42" s="224"/>
      <x:c r="C42" s="224"/>
      <x:c r="D42" s="225"/>
      <x:c r="E42" s="225"/>
      <x:c r="F42" s="224"/>
      <x:c r="G42" s="228"/>
      <x:c r="H42" s="229" t="str">
        <x:f>IF(A42="","",SUMIFS('现金流水'!$H$5:$H$104,'现金流水'!$C$5:$C$104,A42,'现金流水'!$B$5:$B$104,"收入",'现金流水'!$J$5:$J$104,"已到账"))</x:f>
      </x:c>
      <x:c r="I42" s="229" t="str">
        <x:f>IF(A42="","",SUMIFS('现金流水'!$H$5:$H$104,'现金流水'!$C$5:$C$104,A42,'现金流水'!$B$5:$B$104,"直接成本",'现金流水'!$J$5:$J$104,"已支付"))</x:f>
      </x:c>
      <x:c r="J42" s="228"/>
      <x:c r="K42" s="233"/>
      <x:c r="L42" s="229" t="str">
        <x:f>IF(A42="","",'说明与目标'!$B$16)</x:f>
      </x:c>
      <x:c r="M42" s="234" t="str">
        <x:f>IF(A42="","",K42*L42)</x:f>
      </x:c>
      <x:c r="N42" s="234" t="str">
        <x:f>IF(A42="","",H42-I42-J42)</x:f>
      </x:c>
      <x:c r="O42" s="234" t="str">
        <x:f>IF(A42="","",N42-M42)</x:f>
      </x:c>
      <x:c r="P42" s="235" t="str">
        <x:f>IFERROR(O42/H42,"")</x:f>
      </x:c>
      <x:c r="Q42" s="234" t="str">
        <x:f>IF(A42="","",MAX(0,G42-H42))</x:f>
      </x:c>
      <x:c r="R42" s="224"/>
      <x:c r="S42" s="224"/>
      <x:c r="T42" s="226"/>
    </x:row>
    <x:row r="43">
      <x:c r="A43" s="224"/>
      <x:c r="B43" s="224"/>
      <x:c r="C43" s="224"/>
      <x:c r="D43" s="225"/>
      <x:c r="E43" s="225"/>
      <x:c r="F43" s="224"/>
      <x:c r="G43" s="228"/>
      <x:c r="H43" s="229" t="str">
        <x:f>IF(A43="","",SUMIFS('现金流水'!$H$5:$H$104,'现金流水'!$C$5:$C$104,A43,'现金流水'!$B$5:$B$104,"收入",'现金流水'!$J$5:$J$104,"已到账"))</x:f>
      </x:c>
      <x:c r="I43" s="229" t="str">
        <x:f>IF(A43="","",SUMIFS('现金流水'!$H$5:$H$104,'现金流水'!$C$5:$C$104,A43,'现金流水'!$B$5:$B$104,"直接成本",'现金流水'!$J$5:$J$104,"已支付"))</x:f>
      </x:c>
      <x:c r="J43" s="228"/>
      <x:c r="K43" s="233"/>
      <x:c r="L43" s="229" t="str">
        <x:f>IF(A43="","",'说明与目标'!$B$16)</x:f>
      </x:c>
      <x:c r="M43" s="234" t="str">
        <x:f>IF(A43="","",K43*L43)</x:f>
      </x:c>
      <x:c r="N43" s="234" t="str">
        <x:f>IF(A43="","",H43-I43-J43)</x:f>
      </x:c>
      <x:c r="O43" s="234" t="str">
        <x:f>IF(A43="","",N43-M43)</x:f>
      </x:c>
      <x:c r="P43" s="235" t="str">
        <x:f>IFERROR(O43/H43,"")</x:f>
      </x:c>
      <x:c r="Q43" s="234" t="str">
        <x:f>IF(A43="","",MAX(0,G43-H43))</x:f>
      </x:c>
      <x:c r="R43" s="224"/>
      <x:c r="S43" s="224"/>
      <x:c r="T43" s="226"/>
    </x:row>
    <x:row r="44">
      <x:c r="A44" s="224"/>
      <x:c r="B44" s="224"/>
      <x:c r="C44" s="224"/>
      <x:c r="D44" s="225"/>
      <x:c r="E44" s="225"/>
      <x:c r="F44" s="224"/>
      <x:c r="G44" s="228"/>
      <x:c r="H44" s="229" t="str">
        <x:f>IF(A44="","",SUMIFS('现金流水'!$H$5:$H$104,'现金流水'!$C$5:$C$104,A44,'现金流水'!$B$5:$B$104,"收入",'现金流水'!$J$5:$J$104,"已到账"))</x:f>
      </x:c>
      <x:c r="I44" s="229" t="str">
        <x:f>IF(A44="","",SUMIFS('现金流水'!$H$5:$H$104,'现金流水'!$C$5:$C$104,A44,'现金流水'!$B$5:$B$104,"直接成本",'现金流水'!$J$5:$J$104,"已支付"))</x:f>
      </x:c>
      <x:c r="J44" s="228"/>
      <x:c r="K44" s="233"/>
      <x:c r="L44" s="229" t="str">
        <x:f>IF(A44="","",'说明与目标'!$B$16)</x:f>
      </x:c>
      <x:c r="M44" s="234" t="str">
        <x:f>IF(A44="","",K44*L44)</x:f>
      </x:c>
      <x:c r="N44" s="234" t="str">
        <x:f>IF(A44="","",H44-I44-J44)</x:f>
      </x:c>
      <x:c r="O44" s="234" t="str">
        <x:f>IF(A44="","",N44-M44)</x:f>
      </x:c>
      <x:c r="P44" s="235" t="str">
        <x:f>IFERROR(O44/H44,"")</x:f>
      </x:c>
      <x:c r="Q44" s="234" t="str">
        <x:f>IF(A44="","",MAX(0,G44-H44))</x:f>
      </x:c>
      <x:c r="R44" s="224"/>
      <x:c r="S44" s="224"/>
      <x:c r="T44" s="226"/>
    </x:row>
    <x:row r="45">
      <x:c r="A45" s="224"/>
      <x:c r="B45" s="224"/>
      <x:c r="C45" s="224"/>
      <x:c r="D45" s="225"/>
      <x:c r="E45" s="225"/>
      <x:c r="F45" s="224"/>
      <x:c r="G45" s="228"/>
      <x:c r="H45" s="229" t="str">
        <x:f>IF(A45="","",SUMIFS('现金流水'!$H$5:$H$104,'现金流水'!$C$5:$C$104,A45,'现金流水'!$B$5:$B$104,"收入",'现金流水'!$J$5:$J$104,"已到账"))</x:f>
      </x:c>
      <x:c r="I45" s="229" t="str">
        <x:f>IF(A45="","",SUMIFS('现金流水'!$H$5:$H$104,'现金流水'!$C$5:$C$104,A45,'现金流水'!$B$5:$B$104,"直接成本",'现金流水'!$J$5:$J$104,"已支付"))</x:f>
      </x:c>
      <x:c r="J45" s="228"/>
      <x:c r="K45" s="233"/>
      <x:c r="L45" s="229" t="str">
        <x:f>IF(A45="","",'说明与目标'!$B$16)</x:f>
      </x:c>
      <x:c r="M45" s="234" t="str">
        <x:f>IF(A45="","",K45*L45)</x:f>
      </x:c>
      <x:c r="N45" s="234" t="str">
        <x:f>IF(A45="","",H45-I45-J45)</x:f>
      </x:c>
      <x:c r="O45" s="234" t="str">
        <x:f>IF(A45="","",N45-M45)</x:f>
      </x:c>
      <x:c r="P45" s="235" t="str">
        <x:f>IFERROR(O45/H45,"")</x:f>
      </x:c>
      <x:c r="Q45" s="234" t="str">
        <x:f>IF(A45="","",MAX(0,G45-H45))</x:f>
      </x:c>
      <x:c r="R45" s="224"/>
      <x:c r="S45" s="224"/>
      <x:c r="T45" s="226"/>
    </x:row>
    <x:row r="46">
      <x:c r="A46" s="224"/>
      <x:c r="B46" s="224"/>
      <x:c r="C46" s="224"/>
      <x:c r="D46" s="225"/>
      <x:c r="E46" s="225"/>
      <x:c r="F46" s="224"/>
      <x:c r="G46" s="228"/>
      <x:c r="H46" s="229" t="str">
        <x:f>IF(A46="","",SUMIFS('现金流水'!$H$5:$H$104,'现金流水'!$C$5:$C$104,A46,'现金流水'!$B$5:$B$104,"收入",'现金流水'!$J$5:$J$104,"已到账"))</x:f>
      </x:c>
      <x:c r="I46" s="229" t="str">
        <x:f>IF(A46="","",SUMIFS('现金流水'!$H$5:$H$104,'现金流水'!$C$5:$C$104,A46,'现金流水'!$B$5:$B$104,"直接成本",'现金流水'!$J$5:$J$104,"已支付"))</x:f>
      </x:c>
      <x:c r="J46" s="228"/>
      <x:c r="K46" s="233"/>
      <x:c r="L46" s="229" t="str">
        <x:f>IF(A46="","",'说明与目标'!$B$16)</x:f>
      </x:c>
      <x:c r="M46" s="234" t="str">
        <x:f>IF(A46="","",K46*L46)</x:f>
      </x:c>
      <x:c r="N46" s="234" t="str">
        <x:f>IF(A46="","",H46-I46-J46)</x:f>
      </x:c>
      <x:c r="O46" s="234" t="str">
        <x:f>IF(A46="","",N46-M46)</x:f>
      </x:c>
      <x:c r="P46" s="235" t="str">
        <x:f>IFERROR(O46/H46,"")</x:f>
      </x:c>
      <x:c r="Q46" s="234" t="str">
        <x:f>IF(A46="","",MAX(0,G46-H46))</x:f>
      </x:c>
      <x:c r="R46" s="224"/>
      <x:c r="S46" s="224"/>
      <x:c r="T46" s="226"/>
    </x:row>
    <x:row r="47">
      <x:c r="A47" s="224"/>
      <x:c r="B47" s="224"/>
      <x:c r="C47" s="224"/>
      <x:c r="D47" s="225"/>
      <x:c r="E47" s="225"/>
      <x:c r="F47" s="224"/>
      <x:c r="G47" s="228"/>
      <x:c r="H47" s="229" t="str">
        <x:f>IF(A47="","",SUMIFS('现金流水'!$H$5:$H$104,'现金流水'!$C$5:$C$104,A47,'现金流水'!$B$5:$B$104,"收入",'现金流水'!$J$5:$J$104,"已到账"))</x:f>
      </x:c>
      <x:c r="I47" s="229" t="str">
        <x:f>IF(A47="","",SUMIFS('现金流水'!$H$5:$H$104,'现金流水'!$C$5:$C$104,A47,'现金流水'!$B$5:$B$104,"直接成本",'现金流水'!$J$5:$J$104,"已支付"))</x:f>
      </x:c>
      <x:c r="J47" s="228"/>
      <x:c r="K47" s="233"/>
      <x:c r="L47" s="229" t="str">
        <x:f>IF(A47="","",'说明与目标'!$B$16)</x:f>
      </x:c>
      <x:c r="M47" s="234" t="str">
        <x:f>IF(A47="","",K47*L47)</x:f>
      </x:c>
      <x:c r="N47" s="234" t="str">
        <x:f>IF(A47="","",H47-I47-J47)</x:f>
      </x:c>
      <x:c r="O47" s="234" t="str">
        <x:f>IF(A47="","",N47-M47)</x:f>
      </x:c>
      <x:c r="P47" s="235" t="str">
        <x:f>IFERROR(O47/H47,"")</x:f>
      </x:c>
      <x:c r="Q47" s="234" t="str">
        <x:f>IF(A47="","",MAX(0,G47-H47))</x:f>
      </x:c>
      <x:c r="R47" s="224"/>
      <x:c r="S47" s="224"/>
      <x:c r="T47" s="226"/>
    </x:row>
    <x:row r="48">
      <x:c r="A48" s="224"/>
      <x:c r="B48" s="224"/>
      <x:c r="C48" s="224"/>
      <x:c r="D48" s="225"/>
      <x:c r="E48" s="225"/>
      <x:c r="F48" s="224"/>
      <x:c r="G48" s="228"/>
      <x:c r="H48" s="229" t="str">
        <x:f>IF(A48="","",SUMIFS('现金流水'!$H$5:$H$104,'现金流水'!$C$5:$C$104,A48,'现金流水'!$B$5:$B$104,"收入",'现金流水'!$J$5:$J$104,"已到账"))</x:f>
      </x:c>
      <x:c r="I48" s="229" t="str">
        <x:f>IF(A48="","",SUMIFS('现金流水'!$H$5:$H$104,'现金流水'!$C$5:$C$104,A48,'现金流水'!$B$5:$B$104,"直接成本",'现金流水'!$J$5:$J$104,"已支付"))</x:f>
      </x:c>
      <x:c r="J48" s="228"/>
      <x:c r="K48" s="233"/>
      <x:c r="L48" s="229" t="str">
        <x:f>IF(A48="","",'说明与目标'!$B$16)</x:f>
      </x:c>
      <x:c r="M48" s="234" t="str">
        <x:f>IF(A48="","",K48*L48)</x:f>
      </x:c>
      <x:c r="N48" s="234" t="str">
        <x:f>IF(A48="","",H48-I48-J48)</x:f>
      </x:c>
      <x:c r="O48" s="234" t="str">
        <x:f>IF(A48="","",N48-M48)</x:f>
      </x:c>
      <x:c r="P48" s="235" t="str">
        <x:f>IFERROR(O48/H48,"")</x:f>
      </x:c>
      <x:c r="Q48" s="234" t="str">
        <x:f>IF(A48="","",MAX(0,G48-H48))</x:f>
      </x:c>
      <x:c r="R48" s="224"/>
      <x:c r="S48" s="224"/>
      <x:c r="T48" s="226"/>
    </x:row>
    <x:row r="49">
      <x:c r="A49" s="224"/>
      <x:c r="B49" s="224"/>
      <x:c r="C49" s="224"/>
      <x:c r="D49" s="225"/>
      <x:c r="E49" s="225"/>
      <x:c r="F49" s="224"/>
      <x:c r="G49" s="228"/>
      <x:c r="H49" s="229" t="str">
        <x:f>IF(A49="","",SUMIFS('现金流水'!$H$5:$H$104,'现金流水'!$C$5:$C$104,A49,'现金流水'!$B$5:$B$104,"收入",'现金流水'!$J$5:$J$104,"已到账"))</x:f>
      </x:c>
      <x:c r="I49" s="229" t="str">
        <x:f>IF(A49="","",SUMIFS('现金流水'!$H$5:$H$104,'现金流水'!$C$5:$C$104,A49,'现金流水'!$B$5:$B$104,"直接成本",'现金流水'!$J$5:$J$104,"已支付"))</x:f>
      </x:c>
      <x:c r="J49" s="228"/>
      <x:c r="K49" s="233"/>
      <x:c r="L49" s="229" t="str">
        <x:f>IF(A49="","",'说明与目标'!$B$16)</x:f>
      </x:c>
      <x:c r="M49" s="234" t="str">
        <x:f>IF(A49="","",K49*L49)</x:f>
      </x:c>
      <x:c r="N49" s="234" t="str">
        <x:f>IF(A49="","",H49-I49-J49)</x:f>
      </x:c>
      <x:c r="O49" s="234" t="str">
        <x:f>IF(A49="","",N49-M49)</x:f>
      </x:c>
      <x:c r="P49" s="235" t="str">
        <x:f>IFERROR(O49/H49,"")</x:f>
      </x:c>
      <x:c r="Q49" s="234" t="str">
        <x:f>IF(A49="","",MAX(0,G49-H49))</x:f>
      </x:c>
      <x:c r="R49" s="224"/>
      <x:c r="S49" s="224"/>
      <x:c r="T49" s="226"/>
    </x:row>
    <x:row r="50">
      <x:c r="A50" s="224"/>
      <x:c r="B50" s="224"/>
      <x:c r="C50" s="224"/>
      <x:c r="D50" s="225"/>
      <x:c r="E50" s="225"/>
      <x:c r="F50" s="224"/>
      <x:c r="G50" s="228"/>
      <x:c r="H50" s="229" t="str">
        <x:f>IF(A50="","",SUMIFS('现金流水'!$H$5:$H$104,'现金流水'!$C$5:$C$104,A50,'现金流水'!$B$5:$B$104,"收入",'现金流水'!$J$5:$J$104,"已到账"))</x:f>
      </x:c>
      <x:c r="I50" s="229" t="str">
        <x:f>IF(A50="","",SUMIFS('现金流水'!$H$5:$H$104,'现金流水'!$C$5:$C$104,A50,'现金流水'!$B$5:$B$104,"直接成本",'现金流水'!$J$5:$J$104,"已支付"))</x:f>
      </x:c>
      <x:c r="J50" s="228"/>
      <x:c r="K50" s="233"/>
      <x:c r="L50" s="229" t="str">
        <x:f>IF(A50="","",'说明与目标'!$B$16)</x:f>
      </x:c>
      <x:c r="M50" s="234" t="str">
        <x:f>IF(A50="","",K50*L50)</x:f>
      </x:c>
      <x:c r="N50" s="234" t="str">
        <x:f>IF(A50="","",H50-I50-J50)</x:f>
      </x:c>
      <x:c r="O50" s="234" t="str">
        <x:f>IF(A50="","",N50-M50)</x:f>
      </x:c>
      <x:c r="P50" s="235" t="str">
        <x:f>IFERROR(O50/H50,"")</x:f>
      </x:c>
      <x:c r="Q50" s="234" t="str">
        <x:f>IF(A50="","",MAX(0,G50-H50))</x:f>
      </x:c>
      <x:c r="R50" s="224"/>
      <x:c r="S50" s="224"/>
      <x:c r="T50" s="226"/>
    </x:row>
    <x:row r="51">
      <x:c r="A51" s="224"/>
      <x:c r="B51" s="224"/>
      <x:c r="C51" s="224"/>
      <x:c r="D51" s="225"/>
      <x:c r="E51" s="225"/>
      <x:c r="F51" s="224"/>
      <x:c r="G51" s="228"/>
      <x:c r="H51" s="229" t="str">
        <x:f>IF(A51="","",SUMIFS('现金流水'!$H$5:$H$104,'现金流水'!$C$5:$C$104,A51,'现金流水'!$B$5:$B$104,"收入",'现金流水'!$J$5:$J$104,"已到账"))</x:f>
      </x:c>
      <x:c r="I51" s="229" t="str">
        <x:f>IF(A51="","",SUMIFS('现金流水'!$H$5:$H$104,'现金流水'!$C$5:$C$104,A51,'现金流水'!$B$5:$B$104,"直接成本",'现金流水'!$J$5:$J$104,"已支付"))</x:f>
      </x:c>
      <x:c r="J51" s="228"/>
      <x:c r="K51" s="233"/>
      <x:c r="L51" s="229" t="str">
        <x:f>IF(A51="","",'说明与目标'!$B$16)</x:f>
      </x:c>
      <x:c r="M51" s="234" t="str">
        <x:f>IF(A51="","",K51*L51)</x:f>
      </x:c>
      <x:c r="N51" s="234" t="str">
        <x:f>IF(A51="","",H51-I51-J51)</x:f>
      </x:c>
      <x:c r="O51" s="234" t="str">
        <x:f>IF(A51="","",N51-M51)</x:f>
      </x:c>
      <x:c r="P51" s="235" t="str">
        <x:f>IFERROR(O51/H51,"")</x:f>
      </x:c>
      <x:c r="Q51" s="234" t="str">
        <x:f>IF(A51="","",MAX(0,G51-H51))</x:f>
      </x:c>
      <x:c r="R51" s="224"/>
      <x:c r="S51" s="224"/>
      <x:c r="T51" s="226"/>
    </x:row>
    <x:row r="52">
      <x:c r="A52" s="224"/>
      <x:c r="B52" s="224"/>
      <x:c r="C52" s="224"/>
      <x:c r="D52" s="225"/>
      <x:c r="E52" s="225"/>
      <x:c r="F52" s="224"/>
      <x:c r="G52" s="228"/>
      <x:c r="H52" s="229" t="str">
        <x:f>IF(A52="","",SUMIFS('现金流水'!$H$5:$H$104,'现金流水'!$C$5:$C$104,A52,'现金流水'!$B$5:$B$104,"收入",'现金流水'!$J$5:$J$104,"已到账"))</x:f>
      </x:c>
      <x:c r="I52" s="229" t="str">
        <x:f>IF(A52="","",SUMIFS('现金流水'!$H$5:$H$104,'现金流水'!$C$5:$C$104,A52,'现金流水'!$B$5:$B$104,"直接成本",'现金流水'!$J$5:$J$104,"已支付"))</x:f>
      </x:c>
      <x:c r="J52" s="228"/>
      <x:c r="K52" s="233"/>
      <x:c r="L52" s="229" t="str">
        <x:f>IF(A52="","",'说明与目标'!$B$16)</x:f>
      </x:c>
      <x:c r="M52" s="234" t="str">
        <x:f>IF(A52="","",K52*L52)</x:f>
      </x:c>
      <x:c r="N52" s="234" t="str">
        <x:f>IF(A52="","",H52-I52-J52)</x:f>
      </x:c>
      <x:c r="O52" s="234" t="str">
        <x:f>IF(A52="","",N52-M52)</x:f>
      </x:c>
      <x:c r="P52" s="235" t="str">
        <x:f>IFERROR(O52/H52,"")</x:f>
      </x:c>
      <x:c r="Q52" s="234" t="str">
        <x:f>IF(A52="","",MAX(0,G52-H52))</x:f>
      </x:c>
      <x:c r="R52" s="224"/>
      <x:c r="S52" s="224"/>
      <x:c r="T52" s="226"/>
    </x:row>
    <x:row r="53">
      <x:c r="A53" s="224"/>
      <x:c r="B53" s="224"/>
      <x:c r="C53" s="224"/>
      <x:c r="D53" s="225"/>
      <x:c r="E53" s="225"/>
      <x:c r="F53" s="224"/>
      <x:c r="G53" s="228"/>
      <x:c r="H53" s="229" t="str">
        <x:f>IF(A53="","",SUMIFS('现金流水'!$H$5:$H$104,'现金流水'!$C$5:$C$104,A53,'现金流水'!$B$5:$B$104,"收入",'现金流水'!$J$5:$J$104,"已到账"))</x:f>
      </x:c>
      <x:c r="I53" s="229" t="str">
        <x:f>IF(A53="","",SUMIFS('现金流水'!$H$5:$H$104,'现金流水'!$C$5:$C$104,A53,'现金流水'!$B$5:$B$104,"直接成本",'现金流水'!$J$5:$J$104,"已支付"))</x:f>
      </x:c>
      <x:c r="J53" s="228"/>
      <x:c r="K53" s="233"/>
      <x:c r="L53" s="229" t="str">
        <x:f>IF(A53="","",'说明与目标'!$B$16)</x:f>
      </x:c>
      <x:c r="M53" s="234" t="str">
        <x:f>IF(A53="","",K53*L53)</x:f>
      </x:c>
      <x:c r="N53" s="234" t="str">
        <x:f>IF(A53="","",H53-I53-J53)</x:f>
      </x:c>
      <x:c r="O53" s="234" t="str">
        <x:f>IF(A53="","",N53-M53)</x:f>
      </x:c>
      <x:c r="P53" s="235" t="str">
        <x:f>IFERROR(O53/H53,"")</x:f>
      </x:c>
      <x:c r="Q53" s="234" t="str">
        <x:f>IF(A53="","",MAX(0,G53-H53))</x:f>
      </x:c>
      <x:c r="R53" s="224"/>
      <x:c r="S53" s="224"/>
      <x:c r="T53" s="226"/>
    </x:row>
    <x:row r="54">
      <x:c r="A54" s="224"/>
      <x:c r="B54" s="224"/>
      <x:c r="C54" s="224"/>
      <x:c r="D54" s="225"/>
      <x:c r="E54" s="225"/>
      <x:c r="F54" s="224"/>
      <x:c r="G54" s="228"/>
      <x:c r="H54" s="229" t="str">
        <x:f>IF(A54="","",SUMIFS('现金流水'!$H$5:$H$104,'现金流水'!$C$5:$C$104,A54,'现金流水'!$B$5:$B$104,"收入",'现金流水'!$J$5:$J$104,"已到账"))</x:f>
      </x:c>
      <x:c r="I54" s="229" t="str">
        <x:f>IF(A54="","",SUMIFS('现金流水'!$H$5:$H$104,'现金流水'!$C$5:$C$104,A54,'现金流水'!$B$5:$B$104,"直接成本",'现金流水'!$J$5:$J$104,"已支付"))</x:f>
      </x:c>
      <x:c r="J54" s="228"/>
      <x:c r="K54" s="233"/>
      <x:c r="L54" s="229" t="str">
        <x:f>IF(A54="","",'说明与目标'!$B$16)</x:f>
      </x:c>
      <x:c r="M54" s="234" t="str">
        <x:f>IF(A54="","",K54*L54)</x:f>
      </x:c>
      <x:c r="N54" s="234" t="str">
        <x:f>IF(A54="","",H54-I54-J54)</x:f>
      </x:c>
      <x:c r="O54" s="234" t="str">
        <x:f>IF(A54="","",N54-M54)</x:f>
      </x:c>
      <x:c r="P54" s="235" t="str">
        <x:f>IFERROR(O54/H54,"")</x:f>
      </x:c>
      <x:c r="Q54" s="234" t="str">
        <x:f>IF(A54="","",MAX(0,G54-H54))</x:f>
      </x:c>
      <x:c r="R54" s="224"/>
      <x:c r="S54" s="224"/>
      <x:c r="T54" s="226"/>
    </x:row>
  </x:sheetData>
  <x:mergeCells>
    <x:mergeCell ref="A1:T1"/>
    <x:mergeCell ref="A2:T2"/>
  </x:mergeCells>
  <x:conditionalFormatting sqref="P5:P54">
    <x:cfRule type="cellIs" dxfId="7" priority="1" operator="lessThan">
      <x:formula>0.5</x:formula>
    </x:cfRule>
  </x:conditionalFormatting>
  <x:dataValidations count="3">
    <x:dataValidation type="list" sqref="F5:F54">
      <x:formula1>"待启动,进行中,待验收,已完成,暂停,取消"</x:formula1>
    </x:dataValidation>
    <x:dataValidation type="list" sqref="R5:R54">
      <x:formula1>"待判断,是,否"</x:formula1>
    </x:dataValidation>
    <x:dataValidation type="list" sqref="S5:S54">
      <x:formula1>"未询问,不允许,允许匿名,允许公开"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70eea9c61c42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22" hidden="0" customWidth="1"/>
    <x:col min="5" max="5" width="10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4" hidden="0" customWidth="1"/>
    <x:col min="11" max="11" width="34" hidden="0" customWidth="1"/>
    <x:col min="12" max="12" width="36" hidden="0" customWidth="1"/>
  </x:cols>
  <x:sheetData>
    <x:row r="1" ht="34" customHeight="1">
      <x:c r="A1" s="4" t="str">
        <x:v>现金流水｜所有真实收付款的唯一入口</x:v>
      </x:c>
      <x:c r="B1" s="4" t="str">
        <x:v>现金流水｜所有真实收付款的唯一入口</x:v>
      </x:c>
      <x:c r="C1" s="4" t="str">
        <x:v>现金流水｜所有真实收付款的唯一入口</x:v>
      </x:c>
      <x:c r="D1" s="4" t="str">
        <x:v>现金流水｜所有真实收付款的唯一入口</x:v>
      </x:c>
      <x:c r="E1" s="4" t="str">
        <x:v>现金流水｜所有真实收付款的唯一入口</x:v>
      </x:c>
      <x:c r="F1" s="4" t="str">
        <x:v>现金流水｜所有真实收付款的唯一入口</x:v>
      </x:c>
      <x:c r="G1" s="4" t="str">
        <x:v>现金流水｜所有真实收付款的唯一入口</x:v>
      </x:c>
      <x:c r="H1" s="4" t="str">
        <x:v>现金流水｜所有真实收付款的唯一入口</x:v>
      </x:c>
      <x:c r="I1" s="4" t="str">
        <x:v>现金流水｜所有真实收付款的唯一入口</x:v>
      </x:c>
      <x:c r="J1" s="4" t="str">
        <x:v>现金流水｜所有真实收付款的唯一入口</x:v>
      </x:c>
      <x:c r="K1" s="4" t="str">
        <x:v>现金流水｜所有真实收付款的唯一入口</x:v>
      </x:c>
      <x:c r="L1" s="4" t="str">
        <x:v>现金流水｜所有真实收付款的唯一入口</x:v>
      </x:c>
    </x:row>
    <x:row r="2">
      <x:c r="A2" s="223" t="str">
        <x:v>签约额、开票额、应收款都不是已到账。只有实际到账或实际支付并有凭证的记录才进入目标口径。</x:v>
      </x:c>
      <x:c r="B2" s="223" t="str">
        <x:v>签约额、开票额、应收款都不是已到账。只有实际到账或实际支付并有凭证的记录才进入目标口径。</x:v>
      </x:c>
      <x:c r="C2" s="223" t="str">
        <x:v>签约额、开票额、应收款都不是已到账。只有实际到账或实际支付并有凭证的记录才进入目标口径。</x:v>
      </x:c>
      <x:c r="D2" s="223" t="str">
        <x:v>签约额、开票额、应收款都不是已到账。只有实际到账或实际支付并有凭证的记录才进入目标口径。</x:v>
      </x:c>
      <x:c r="E2" s="223" t="str">
        <x:v>签约额、开票额、应收款都不是已到账。只有实际到账或实际支付并有凭证的记录才进入目标口径。</x:v>
      </x:c>
      <x:c r="F2" s="223" t="str">
        <x:v>签约额、开票额、应收款都不是已到账。只有实际到账或实际支付并有凭证的记录才进入目标口径。</x:v>
      </x:c>
      <x:c r="G2" s="223" t="str">
        <x:v>签约额、开票额、应收款都不是已到账。只有实际到账或实际支付并有凭证的记录才进入目标口径。</x:v>
      </x:c>
      <x:c r="H2" s="223" t="str">
        <x:v>签约额、开票额、应收款都不是已到账。只有实际到账或实际支付并有凭证的记录才进入目标口径。</x:v>
      </x:c>
      <x:c r="I2" s="223" t="str">
        <x:v>签约额、开票额、应收款都不是已到账。只有实际到账或实际支付并有凭证的记录才进入目标口径。</x:v>
      </x:c>
      <x:c r="J2" s="223" t="str">
        <x:v>签约额、开票额、应收款都不是已到账。只有实际到账或实际支付并有凭证的记录才进入目标口径。</x:v>
      </x:c>
      <x:c r="K2" s="223" t="str">
        <x:v>签约额、开票额、应收款都不是已到账。只有实际到账或实际支付并有凭证的记录才进入目标口径。</x:v>
      </x:c>
      <x:c r="L2" s="223" t="str">
        <x:v>签约额、开票额、应收款都不是已到账。只有实际到账或实际支付并有凭证的记录才进入目标口径。</x:v>
      </x:c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</x:row>
    <x:row r="4" ht="30" customHeight="1">
      <x:c r="A4" s="77" t="str">
        <x:v>交易日期</x:v>
      </x:c>
      <x:c r="B4" s="78" t="str">
        <x:v>类型</x:v>
      </x:c>
      <x:c r="C4" s="78" t="str">
        <x:v>项目ID</x:v>
      </x:c>
      <x:c r="D4" s="78" t="str">
        <x:v>对方</x:v>
      </x:c>
      <x:c r="E4" s="78" t="str">
        <x:v>币种</x:v>
      </x:c>
      <x:c r="F4" s="78" t="str">
        <x:v>原币金额</x:v>
      </x:c>
      <x:c r="G4" s="78" t="str">
        <x:v>换算率→CNY</x:v>
      </x:c>
      <x:c r="H4" s="78" t="str">
        <x:v>金额CNY</x:v>
      </x:c>
      <x:c r="I4" s="78" t="str">
        <x:v>凭证/单号</x:v>
      </x:c>
      <x:c r="J4" s="78" t="str">
        <x:v>支付状态</x:v>
      </x:c>
      <x:c r="K4" s="78" t="str">
        <x:v>凭证链接</x:v>
      </x:c>
      <x:c r="L4" s="79" t="str">
        <x:v>备注</x:v>
      </x:c>
    </x:row>
    <x:row r="5">
      <x:c r="A5" s="225"/>
      <x:c r="B5" s="224"/>
      <x:c r="C5" s="224"/>
      <x:c r="D5" s="224"/>
      <x:c r="E5" s="224"/>
      <x:c r="F5" s="228"/>
      <x:c r="G5" s="229" t="str">
        <x:f>IF(A5="","",IF(E5="CNY",1,IF(E5="JPY",'说明与目标'!$B$10,"")))</x:f>
      </x:c>
      <x:c r="H5" s="229" t="str">
        <x:f>IF(A5="","",F5*G5)</x:f>
      </x:c>
      <x:c r="I5" s="224"/>
      <x:c r="J5" s="224"/>
      <x:c r="K5" s="226"/>
      <x:c r="L5" s="226"/>
    </x:row>
    <x:row r="6">
      <x:c r="A6" s="225"/>
      <x:c r="B6" s="224"/>
      <x:c r="C6" s="224"/>
      <x:c r="D6" s="224"/>
      <x:c r="E6" s="224"/>
      <x:c r="F6" s="228"/>
      <x:c r="G6" s="229" t="str">
        <x:f>IF(A6="","",IF(E6="CNY",1,IF(E6="JPY",'说明与目标'!$B$10,"")))</x:f>
      </x:c>
      <x:c r="H6" s="229" t="str">
        <x:f>IF(A6="","",F6*G6)</x:f>
      </x:c>
      <x:c r="I6" s="224"/>
      <x:c r="J6" s="224"/>
      <x:c r="K6" s="226"/>
      <x:c r="L6" s="226"/>
    </x:row>
    <x:row r="7">
      <x:c r="A7" s="225"/>
      <x:c r="B7" s="224"/>
      <x:c r="C7" s="224"/>
      <x:c r="D7" s="224"/>
      <x:c r="E7" s="224"/>
      <x:c r="F7" s="228"/>
      <x:c r="G7" s="229" t="str">
        <x:f>IF(A7="","",IF(E7="CNY",1,IF(E7="JPY",'说明与目标'!$B$10,"")))</x:f>
      </x:c>
      <x:c r="H7" s="229" t="str">
        <x:f>IF(A7="","",F7*G7)</x:f>
      </x:c>
      <x:c r="I7" s="224"/>
      <x:c r="J7" s="224"/>
      <x:c r="K7" s="226"/>
      <x:c r="L7" s="226"/>
    </x:row>
    <x:row r="8">
      <x:c r="A8" s="225"/>
      <x:c r="B8" s="224"/>
      <x:c r="C8" s="224"/>
      <x:c r="D8" s="224"/>
      <x:c r="E8" s="224"/>
      <x:c r="F8" s="228"/>
      <x:c r="G8" s="229" t="str">
        <x:f>IF(A8="","",IF(E8="CNY",1,IF(E8="JPY",'说明与目标'!$B$10,"")))</x:f>
      </x:c>
      <x:c r="H8" s="229" t="str">
        <x:f>IF(A8="","",F8*G8)</x:f>
      </x:c>
      <x:c r="I8" s="224"/>
      <x:c r="J8" s="224"/>
      <x:c r="K8" s="226"/>
      <x:c r="L8" s="226"/>
    </x:row>
    <x:row r="9">
      <x:c r="A9" s="225"/>
      <x:c r="B9" s="224"/>
      <x:c r="C9" s="224"/>
      <x:c r="D9" s="224"/>
      <x:c r="E9" s="224"/>
      <x:c r="F9" s="228"/>
      <x:c r="G9" s="229" t="str">
        <x:f>IF(A9="","",IF(E9="CNY",1,IF(E9="JPY",'说明与目标'!$B$10,"")))</x:f>
      </x:c>
      <x:c r="H9" s="229" t="str">
        <x:f>IF(A9="","",F9*G9)</x:f>
      </x:c>
      <x:c r="I9" s="224"/>
      <x:c r="J9" s="224"/>
      <x:c r="K9" s="226"/>
      <x:c r="L9" s="226"/>
    </x:row>
    <x:row r="10">
      <x:c r="A10" s="225"/>
      <x:c r="B10" s="224"/>
      <x:c r="C10" s="224"/>
      <x:c r="D10" s="224"/>
      <x:c r="E10" s="224"/>
      <x:c r="F10" s="228"/>
      <x:c r="G10" s="229" t="str">
        <x:f>IF(A10="","",IF(E10="CNY",1,IF(E10="JPY",'说明与目标'!$B$10,"")))</x:f>
      </x:c>
      <x:c r="H10" s="229" t="str">
        <x:f>IF(A10="","",F10*G10)</x:f>
      </x:c>
      <x:c r="I10" s="224"/>
      <x:c r="J10" s="224"/>
      <x:c r="K10" s="226"/>
      <x:c r="L10" s="226"/>
    </x:row>
    <x:row r="11">
      <x:c r="A11" s="225"/>
      <x:c r="B11" s="224"/>
      <x:c r="C11" s="224"/>
      <x:c r="D11" s="224"/>
      <x:c r="E11" s="224"/>
      <x:c r="F11" s="228"/>
      <x:c r="G11" s="229" t="str">
        <x:f>IF(A11="","",IF(E11="CNY",1,IF(E11="JPY",'说明与目标'!$B$10,"")))</x:f>
      </x:c>
      <x:c r="H11" s="229" t="str">
        <x:f>IF(A11="","",F11*G11)</x:f>
      </x:c>
      <x:c r="I11" s="224"/>
      <x:c r="J11" s="224"/>
      <x:c r="K11" s="226"/>
      <x:c r="L11" s="226"/>
    </x:row>
    <x:row r="12">
      <x:c r="A12" s="225"/>
      <x:c r="B12" s="224"/>
      <x:c r="C12" s="224"/>
      <x:c r="D12" s="224"/>
      <x:c r="E12" s="224"/>
      <x:c r="F12" s="228"/>
      <x:c r="G12" s="229" t="str">
        <x:f>IF(A12="","",IF(E12="CNY",1,IF(E12="JPY",'说明与目标'!$B$10,"")))</x:f>
      </x:c>
      <x:c r="H12" s="229" t="str">
        <x:f>IF(A12="","",F12*G12)</x:f>
      </x:c>
      <x:c r="I12" s="224"/>
      <x:c r="J12" s="224"/>
      <x:c r="K12" s="226"/>
      <x:c r="L12" s="226"/>
    </x:row>
    <x:row r="13">
      <x:c r="A13" s="225"/>
      <x:c r="B13" s="224"/>
      <x:c r="C13" s="224"/>
      <x:c r="D13" s="224"/>
      <x:c r="E13" s="224"/>
      <x:c r="F13" s="228"/>
      <x:c r="G13" s="229" t="str">
        <x:f>IF(A13="","",IF(E13="CNY",1,IF(E13="JPY",'说明与目标'!$B$10,"")))</x:f>
      </x:c>
      <x:c r="H13" s="229" t="str">
        <x:f>IF(A13="","",F13*G13)</x:f>
      </x:c>
      <x:c r="I13" s="224"/>
      <x:c r="J13" s="224"/>
      <x:c r="K13" s="226"/>
      <x:c r="L13" s="226"/>
    </x:row>
    <x:row r="14">
      <x:c r="A14" s="225"/>
      <x:c r="B14" s="224"/>
      <x:c r="C14" s="224"/>
      <x:c r="D14" s="224"/>
      <x:c r="E14" s="224"/>
      <x:c r="F14" s="228"/>
      <x:c r="G14" s="229" t="str">
        <x:f>IF(A14="","",IF(E14="CNY",1,IF(E14="JPY",'说明与目标'!$B$10,"")))</x:f>
      </x:c>
      <x:c r="H14" s="229" t="str">
        <x:f>IF(A14="","",F14*G14)</x:f>
      </x:c>
      <x:c r="I14" s="224"/>
      <x:c r="J14" s="224"/>
      <x:c r="K14" s="226"/>
      <x:c r="L14" s="226"/>
    </x:row>
    <x:row r="15">
      <x:c r="A15" s="225"/>
      <x:c r="B15" s="224"/>
      <x:c r="C15" s="224"/>
      <x:c r="D15" s="224"/>
      <x:c r="E15" s="224"/>
      <x:c r="F15" s="228"/>
      <x:c r="G15" s="229" t="str">
        <x:f>IF(A15="","",IF(E15="CNY",1,IF(E15="JPY",'说明与目标'!$B$10,"")))</x:f>
      </x:c>
      <x:c r="H15" s="229" t="str">
        <x:f>IF(A15="","",F15*G15)</x:f>
      </x:c>
      <x:c r="I15" s="224"/>
      <x:c r="J15" s="224"/>
      <x:c r="K15" s="226"/>
      <x:c r="L15" s="226"/>
    </x:row>
    <x:row r="16">
      <x:c r="A16" s="225"/>
      <x:c r="B16" s="224"/>
      <x:c r="C16" s="224"/>
      <x:c r="D16" s="224"/>
      <x:c r="E16" s="224"/>
      <x:c r="F16" s="228"/>
      <x:c r="G16" s="229" t="str">
        <x:f>IF(A16="","",IF(E16="CNY",1,IF(E16="JPY",'说明与目标'!$B$10,"")))</x:f>
      </x:c>
      <x:c r="H16" s="229" t="str">
        <x:f>IF(A16="","",F16*G16)</x:f>
      </x:c>
      <x:c r="I16" s="224"/>
      <x:c r="J16" s="224"/>
      <x:c r="K16" s="226"/>
      <x:c r="L16" s="226"/>
    </x:row>
    <x:row r="17">
      <x:c r="A17" s="225"/>
      <x:c r="B17" s="224"/>
      <x:c r="C17" s="224"/>
      <x:c r="D17" s="224"/>
      <x:c r="E17" s="224"/>
      <x:c r="F17" s="228"/>
      <x:c r="G17" s="229" t="str">
        <x:f>IF(A17="","",IF(E17="CNY",1,IF(E17="JPY",'说明与目标'!$B$10,"")))</x:f>
      </x:c>
      <x:c r="H17" s="229" t="str">
        <x:f>IF(A17="","",F17*G17)</x:f>
      </x:c>
      <x:c r="I17" s="224"/>
      <x:c r="J17" s="224"/>
      <x:c r="K17" s="226"/>
      <x:c r="L17" s="226"/>
    </x:row>
    <x:row r="18">
      <x:c r="A18" s="225"/>
      <x:c r="B18" s="224"/>
      <x:c r="C18" s="224"/>
      <x:c r="D18" s="224"/>
      <x:c r="E18" s="224"/>
      <x:c r="F18" s="228"/>
      <x:c r="G18" s="229" t="str">
        <x:f>IF(A18="","",IF(E18="CNY",1,IF(E18="JPY",'说明与目标'!$B$10,"")))</x:f>
      </x:c>
      <x:c r="H18" s="229" t="str">
        <x:f>IF(A18="","",F18*G18)</x:f>
      </x:c>
      <x:c r="I18" s="224"/>
      <x:c r="J18" s="224"/>
      <x:c r="K18" s="226"/>
      <x:c r="L18" s="226"/>
    </x:row>
    <x:row r="19">
      <x:c r="A19" s="225"/>
      <x:c r="B19" s="224"/>
      <x:c r="C19" s="224"/>
      <x:c r="D19" s="224"/>
      <x:c r="E19" s="224"/>
      <x:c r="F19" s="228"/>
      <x:c r="G19" s="229" t="str">
        <x:f>IF(A19="","",IF(E19="CNY",1,IF(E19="JPY",'说明与目标'!$B$10,"")))</x:f>
      </x:c>
      <x:c r="H19" s="229" t="str">
        <x:f>IF(A19="","",F19*G19)</x:f>
      </x:c>
      <x:c r="I19" s="224"/>
      <x:c r="J19" s="224"/>
      <x:c r="K19" s="226"/>
      <x:c r="L19" s="226"/>
    </x:row>
    <x:row r="20">
      <x:c r="A20" s="225"/>
      <x:c r="B20" s="224"/>
      <x:c r="C20" s="224"/>
      <x:c r="D20" s="224"/>
      <x:c r="E20" s="224"/>
      <x:c r="F20" s="228"/>
      <x:c r="G20" s="229" t="str">
        <x:f>IF(A20="","",IF(E20="CNY",1,IF(E20="JPY",'说明与目标'!$B$10,"")))</x:f>
      </x:c>
      <x:c r="H20" s="229" t="str">
        <x:f>IF(A20="","",F20*G20)</x:f>
      </x:c>
      <x:c r="I20" s="224"/>
      <x:c r="J20" s="224"/>
      <x:c r="K20" s="226"/>
      <x:c r="L20" s="226"/>
    </x:row>
    <x:row r="21">
      <x:c r="A21" s="225"/>
      <x:c r="B21" s="224"/>
      <x:c r="C21" s="224"/>
      <x:c r="D21" s="224"/>
      <x:c r="E21" s="224"/>
      <x:c r="F21" s="228"/>
      <x:c r="G21" s="229" t="str">
        <x:f>IF(A21="","",IF(E21="CNY",1,IF(E21="JPY",'说明与目标'!$B$10,"")))</x:f>
      </x:c>
      <x:c r="H21" s="229" t="str">
        <x:f>IF(A21="","",F21*G21)</x:f>
      </x:c>
      <x:c r="I21" s="224"/>
      <x:c r="J21" s="224"/>
      <x:c r="K21" s="226"/>
      <x:c r="L21" s="226"/>
    </x:row>
    <x:row r="22">
      <x:c r="A22" s="225"/>
      <x:c r="B22" s="224"/>
      <x:c r="C22" s="224"/>
      <x:c r="D22" s="224"/>
      <x:c r="E22" s="224"/>
      <x:c r="F22" s="228"/>
      <x:c r="G22" s="229" t="str">
        <x:f>IF(A22="","",IF(E22="CNY",1,IF(E22="JPY",'说明与目标'!$B$10,"")))</x:f>
      </x:c>
      <x:c r="H22" s="229" t="str">
        <x:f>IF(A22="","",F22*G22)</x:f>
      </x:c>
      <x:c r="I22" s="224"/>
      <x:c r="J22" s="224"/>
      <x:c r="K22" s="226"/>
      <x:c r="L22" s="226"/>
    </x:row>
    <x:row r="23">
      <x:c r="A23" s="225"/>
      <x:c r="B23" s="224"/>
      <x:c r="C23" s="224"/>
      <x:c r="D23" s="224"/>
      <x:c r="E23" s="224"/>
      <x:c r="F23" s="228"/>
      <x:c r="G23" s="229" t="str">
        <x:f>IF(A23="","",IF(E23="CNY",1,IF(E23="JPY",'说明与目标'!$B$10,"")))</x:f>
      </x:c>
      <x:c r="H23" s="229" t="str">
        <x:f>IF(A23="","",F23*G23)</x:f>
      </x:c>
      <x:c r="I23" s="224"/>
      <x:c r="J23" s="224"/>
      <x:c r="K23" s="226"/>
      <x:c r="L23" s="226"/>
    </x:row>
    <x:row r="24">
      <x:c r="A24" s="225"/>
      <x:c r="B24" s="224"/>
      <x:c r="C24" s="224"/>
      <x:c r="D24" s="224"/>
      <x:c r="E24" s="224"/>
      <x:c r="F24" s="228"/>
      <x:c r="G24" s="229" t="str">
        <x:f>IF(A24="","",IF(E24="CNY",1,IF(E24="JPY",'说明与目标'!$B$10,"")))</x:f>
      </x:c>
      <x:c r="H24" s="229" t="str">
        <x:f>IF(A24="","",F24*G24)</x:f>
      </x:c>
      <x:c r="I24" s="224"/>
      <x:c r="J24" s="224"/>
      <x:c r="K24" s="226"/>
      <x:c r="L24" s="226"/>
    </x:row>
    <x:row r="25">
      <x:c r="A25" s="225"/>
      <x:c r="B25" s="224"/>
      <x:c r="C25" s="224"/>
      <x:c r="D25" s="224"/>
      <x:c r="E25" s="224"/>
      <x:c r="F25" s="228"/>
      <x:c r="G25" s="229" t="str">
        <x:f>IF(A25="","",IF(E25="CNY",1,IF(E25="JPY",'说明与目标'!$B$10,"")))</x:f>
      </x:c>
      <x:c r="H25" s="229" t="str">
        <x:f>IF(A25="","",F25*G25)</x:f>
      </x:c>
      <x:c r="I25" s="224"/>
      <x:c r="J25" s="224"/>
      <x:c r="K25" s="226"/>
      <x:c r="L25" s="226"/>
    </x:row>
    <x:row r="26">
      <x:c r="A26" s="225"/>
      <x:c r="B26" s="224"/>
      <x:c r="C26" s="224"/>
      <x:c r="D26" s="224"/>
      <x:c r="E26" s="224"/>
      <x:c r="F26" s="228"/>
      <x:c r="G26" s="229" t="str">
        <x:f>IF(A26="","",IF(E26="CNY",1,IF(E26="JPY",'说明与目标'!$B$10,"")))</x:f>
      </x:c>
      <x:c r="H26" s="229" t="str">
        <x:f>IF(A26="","",F26*G26)</x:f>
      </x:c>
      <x:c r="I26" s="224"/>
      <x:c r="J26" s="224"/>
      <x:c r="K26" s="226"/>
      <x:c r="L26" s="226"/>
    </x:row>
    <x:row r="27">
      <x:c r="A27" s="225"/>
      <x:c r="B27" s="224"/>
      <x:c r="C27" s="224"/>
      <x:c r="D27" s="224"/>
      <x:c r="E27" s="224"/>
      <x:c r="F27" s="228"/>
      <x:c r="G27" s="229" t="str">
        <x:f>IF(A27="","",IF(E27="CNY",1,IF(E27="JPY",'说明与目标'!$B$10,"")))</x:f>
      </x:c>
      <x:c r="H27" s="229" t="str">
        <x:f>IF(A27="","",F27*G27)</x:f>
      </x:c>
      <x:c r="I27" s="224"/>
      <x:c r="J27" s="224"/>
      <x:c r="K27" s="226"/>
      <x:c r="L27" s="226"/>
    </x:row>
    <x:row r="28">
      <x:c r="A28" s="225"/>
      <x:c r="B28" s="224"/>
      <x:c r="C28" s="224"/>
      <x:c r="D28" s="224"/>
      <x:c r="E28" s="224"/>
      <x:c r="F28" s="228"/>
      <x:c r="G28" s="229" t="str">
        <x:f>IF(A28="","",IF(E28="CNY",1,IF(E28="JPY",'说明与目标'!$B$10,"")))</x:f>
      </x:c>
      <x:c r="H28" s="229" t="str">
        <x:f>IF(A28="","",F28*G28)</x:f>
      </x:c>
      <x:c r="I28" s="224"/>
      <x:c r="J28" s="224"/>
      <x:c r="K28" s="226"/>
      <x:c r="L28" s="226"/>
    </x:row>
    <x:row r="29">
      <x:c r="A29" s="225"/>
      <x:c r="B29" s="224"/>
      <x:c r="C29" s="224"/>
      <x:c r="D29" s="224"/>
      <x:c r="E29" s="224"/>
      <x:c r="F29" s="228"/>
      <x:c r="G29" s="229" t="str">
        <x:f>IF(A29="","",IF(E29="CNY",1,IF(E29="JPY",'说明与目标'!$B$10,"")))</x:f>
      </x:c>
      <x:c r="H29" s="229" t="str">
        <x:f>IF(A29="","",F29*G29)</x:f>
      </x:c>
      <x:c r="I29" s="224"/>
      <x:c r="J29" s="224"/>
      <x:c r="K29" s="226"/>
      <x:c r="L29" s="226"/>
    </x:row>
    <x:row r="30">
      <x:c r="A30" s="225"/>
      <x:c r="B30" s="224"/>
      <x:c r="C30" s="224"/>
      <x:c r="D30" s="224"/>
      <x:c r="E30" s="224"/>
      <x:c r="F30" s="228"/>
      <x:c r="G30" s="229" t="str">
        <x:f>IF(A30="","",IF(E30="CNY",1,IF(E30="JPY",'说明与目标'!$B$10,"")))</x:f>
      </x:c>
      <x:c r="H30" s="229" t="str">
        <x:f>IF(A30="","",F30*G30)</x:f>
      </x:c>
      <x:c r="I30" s="224"/>
      <x:c r="J30" s="224"/>
      <x:c r="K30" s="226"/>
      <x:c r="L30" s="226"/>
    </x:row>
    <x:row r="31">
      <x:c r="A31" s="225"/>
      <x:c r="B31" s="224"/>
      <x:c r="C31" s="224"/>
      <x:c r="D31" s="224"/>
      <x:c r="E31" s="224"/>
      <x:c r="F31" s="228"/>
      <x:c r="G31" s="229" t="str">
        <x:f>IF(A31="","",IF(E31="CNY",1,IF(E31="JPY",'说明与目标'!$B$10,"")))</x:f>
      </x:c>
      <x:c r="H31" s="229" t="str">
        <x:f>IF(A31="","",F31*G31)</x:f>
      </x:c>
      <x:c r="I31" s="224"/>
      <x:c r="J31" s="224"/>
      <x:c r="K31" s="226"/>
      <x:c r="L31" s="226"/>
    </x:row>
    <x:row r="32">
      <x:c r="A32" s="225"/>
      <x:c r="B32" s="224"/>
      <x:c r="C32" s="224"/>
      <x:c r="D32" s="224"/>
      <x:c r="E32" s="224"/>
      <x:c r="F32" s="228"/>
      <x:c r="G32" s="229" t="str">
        <x:f>IF(A32="","",IF(E32="CNY",1,IF(E32="JPY",'说明与目标'!$B$10,"")))</x:f>
      </x:c>
      <x:c r="H32" s="229" t="str">
        <x:f>IF(A32="","",F32*G32)</x:f>
      </x:c>
      <x:c r="I32" s="224"/>
      <x:c r="J32" s="224"/>
      <x:c r="K32" s="226"/>
      <x:c r="L32" s="226"/>
    </x:row>
    <x:row r="33">
      <x:c r="A33" s="225"/>
      <x:c r="B33" s="224"/>
      <x:c r="C33" s="224"/>
      <x:c r="D33" s="224"/>
      <x:c r="E33" s="224"/>
      <x:c r="F33" s="228"/>
      <x:c r="G33" s="229" t="str">
        <x:f>IF(A33="","",IF(E33="CNY",1,IF(E33="JPY",'说明与目标'!$B$10,"")))</x:f>
      </x:c>
      <x:c r="H33" s="229" t="str">
        <x:f>IF(A33="","",F33*G33)</x:f>
      </x:c>
      <x:c r="I33" s="224"/>
      <x:c r="J33" s="224"/>
      <x:c r="K33" s="226"/>
      <x:c r="L33" s="226"/>
    </x:row>
    <x:row r="34">
      <x:c r="A34" s="225"/>
      <x:c r="B34" s="224"/>
      <x:c r="C34" s="224"/>
      <x:c r="D34" s="224"/>
      <x:c r="E34" s="224"/>
      <x:c r="F34" s="228"/>
      <x:c r="G34" s="229" t="str">
        <x:f>IF(A34="","",IF(E34="CNY",1,IF(E34="JPY",'说明与目标'!$B$10,"")))</x:f>
      </x:c>
      <x:c r="H34" s="229" t="str">
        <x:f>IF(A34="","",F34*G34)</x:f>
      </x:c>
      <x:c r="I34" s="224"/>
      <x:c r="J34" s="224"/>
      <x:c r="K34" s="226"/>
      <x:c r="L34" s="226"/>
    </x:row>
    <x:row r="35">
      <x:c r="A35" s="225"/>
      <x:c r="B35" s="224"/>
      <x:c r="C35" s="224"/>
      <x:c r="D35" s="224"/>
      <x:c r="E35" s="224"/>
      <x:c r="F35" s="228"/>
      <x:c r="G35" s="229" t="str">
        <x:f>IF(A35="","",IF(E35="CNY",1,IF(E35="JPY",'说明与目标'!$B$10,"")))</x:f>
      </x:c>
      <x:c r="H35" s="229" t="str">
        <x:f>IF(A35="","",F35*G35)</x:f>
      </x:c>
      <x:c r="I35" s="224"/>
      <x:c r="J35" s="224"/>
      <x:c r="K35" s="226"/>
      <x:c r="L35" s="226"/>
    </x:row>
    <x:row r="36">
      <x:c r="A36" s="225"/>
      <x:c r="B36" s="224"/>
      <x:c r="C36" s="224"/>
      <x:c r="D36" s="224"/>
      <x:c r="E36" s="224"/>
      <x:c r="F36" s="228"/>
      <x:c r="G36" s="229" t="str">
        <x:f>IF(A36="","",IF(E36="CNY",1,IF(E36="JPY",'说明与目标'!$B$10,"")))</x:f>
      </x:c>
      <x:c r="H36" s="229" t="str">
        <x:f>IF(A36="","",F36*G36)</x:f>
      </x:c>
      <x:c r="I36" s="224"/>
      <x:c r="J36" s="224"/>
      <x:c r="K36" s="226"/>
      <x:c r="L36" s="226"/>
    </x:row>
    <x:row r="37">
      <x:c r="A37" s="225"/>
      <x:c r="B37" s="224"/>
      <x:c r="C37" s="224"/>
      <x:c r="D37" s="224"/>
      <x:c r="E37" s="224"/>
      <x:c r="F37" s="228"/>
      <x:c r="G37" s="229" t="str">
        <x:f>IF(A37="","",IF(E37="CNY",1,IF(E37="JPY",'说明与目标'!$B$10,"")))</x:f>
      </x:c>
      <x:c r="H37" s="229" t="str">
        <x:f>IF(A37="","",F37*G37)</x:f>
      </x:c>
      <x:c r="I37" s="224"/>
      <x:c r="J37" s="224"/>
      <x:c r="K37" s="226"/>
      <x:c r="L37" s="226"/>
    </x:row>
    <x:row r="38">
      <x:c r="A38" s="225"/>
      <x:c r="B38" s="224"/>
      <x:c r="C38" s="224"/>
      <x:c r="D38" s="224"/>
      <x:c r="E38" s="224"/>
      <x:c r="F38" s="228"/>
      <x:c r="G38" s="229" t="str">
        <x:f>IF(A38="","",IF(E38="CNY",1,IF(E38="JPY",'说明与目标'!$B$10,"")))</x:f>
      </x:c>
      <x:c r="H38" s="229" t="str">
        <x:f>IF(A38="","",F38*G38)</x:f>
      </x:c>
      <x:c r="I38" s="224"/>
      <x:c r="J38" s="224"/>
      <x:c r="K38" s="226"/>
      <x:c r="L38" s="226"/>
    </x:row>
    <x:row r="39">
      <x:c r="A39" s="225"/>
      <x:c r="B39" s="224"/>
      <x:c r="C39" s="224"/>
      <x:c r="D39" s="224"/>
      <x:c r="E39" s="224"/>
      <x:c r="F39" s="228"/>
      <x:c r="G39" s="229" t="str">
        <x:f>IF(A39="","",IF(E39="CNY",1,IF(E39="JPY",'说明与目标'!$B$10,"")))</x:f>
      </x:c>
      <x:c r="H39" s="229" t="str">
        <x:f>IF(A39="","",F39*G39)</x:f>
      </x:c>
      <x:c r="I39" s="224"/>
      <x:c r="J39" s="224"/>
      <x:c r="K39" s="226"/>
      <x:c r="L39" s="226"/>
    </x:row>
    <x:row r="40">
      <x:c r="A40" s="225"/>
      <x:c r="B40" s="224"/>
      <x:c r="C40" s="224"/>
      <x:c r="D40" s="224"/>
      <x:c r="E40" s="224"/>
      <x:c r="F40" s="228"/>
      <x:c r="G40" s="229" t="str">
        <x:f>IF(A40="","",IF(E40="CNY",1,IF(E40="JPY",'说明与目标'!$B$10,"")))</x:f>
      </x:c>
      <x:c r="H40" s="229" t="str">
        <x:f>IF(A40="","",F40*G40)</x:f>
      </x:c>
      <x:c r="I40" s="224"/>
      <x:c r="J40" s="224"/>
      <x:c r="K40" s="226"/>
      <x:c r="L40" s="226"/>
    </x:row>
    <x:row r="41">
      <x:c r="A41" s="225"/>
      <x:c r="B41" s="224"/>
      <x:c r="C41" s="224"/>
      <x:c r="D41" s="224"/>
      <x:c r="E41" s="224"/>
      <x:c r="F41" s="228"/>
      <x:c r="G41" s="229" t="str">
        <x:f>IF(A41="","",IF(E41="CNY",1,IF(E41="JPY",'说明与目标'!$B$10,"")))</x:f>
      </x:c>
      <x:c r="H41" s="229" t="str">
        <x:f>IF(A41="","",F41*G41)</x:f>
      </x:c>
      <x:c r="I41" s="224"/>
      <x:c r="J41" s="224"/>
      <x:c r="K41" s="226"/>
      <x:c r="L41" s="226"/>
    </x:row>
    <x:row r="42">
      <x:c r="A42" s="225"/>
      <x:c r="B42" s="224"/>
      <x:c r="C42" s="224"/>
      <x:c r="D42" s="224"/>
      <x:c r="E42" s="224"/>
      <x:c r="F42" s="228"/>
      <x:c r="G42" s="229" t="str">
        <x:f>IF(A42="","",IF(E42="CNY",1,IF(E42="JPY",'说明与目标'!$B$10,"")))</x:f>
      </x:c>
      <x:c r="H42" s="229" t="str">
        <x:f>IF(A42="","",F42*G42)</x:f>
      </x:c>
      <x:c r="I42" s="224"/>
      <x:c r="J42" s="224"/>
      <x:c r="K42" s="226"/>
      <x:c r="L42" s="226"/>
    </x:row>
    <x:row r="43">
      <x:c r="A43" s="225"/>
      <x:c r="B43" s="224"/>
      <x:c r="C43" s="224"/>
      <x:c r="D43" s="224"/>
      <x:c r="E43" s="224"/>
      <x:c r="F43" s="228"/>
      <x:c r="G43" s="229" t="str">
        <x:f>IF(A43="","",IF(E43="CNY",1,IF(E43="JPY",'说明与目标'!$B$10,"")))</x:f>
      </x:c>
      <x:c r="H43" s="229" t="str">
        <x:f>IF(A43="","",F43*G43)</x:f>
      </x:c>
      <x:c r="I43" s="224"/>
      <x:c r="J43" s="224"/>
      <x:c r="K43" s="226"/>
      <x:c r="L43" s="226"/>
    </x:row>
    <x:row r="44">
      <x:c r="A44" s="225"/>
      <x:c r="B44" s="224"/>
      <x:c r="C44" s="224"/>
      <x:c r="D44" s="224"/>
      <x:c r="E44" s="224"/>
      <x:c r="F44" s="228"/>
      <x:c r="G44" s="229" t="str">
        <x:f>IF(A44="","",IF(E44="CNY",1,IF(E44="JPY",'说明与目标'!$B$10,"")))</x:f>
      </x:c>
      <x:c r="H44" s="229" t="str">
        <x:f>IF(A44="","",F44*G44)</x:f>
      </x:c>
      <x:c r="I44" s="224"/>
      <x:c r="J44" s="224"/>
      <x:c r="K44" s="226"/>
      <x:c r="L44" s="226"/>
    </x:row>
    <x:row r="45">
      <x:c r="A45" s="225"/>
      <x:c r="B45" s="224"/>
      <x:c r="C45" s="224"/>
      <x:c r="D45" s="224"/>
      <x:c r="E45" s="224"/>
      <x:c r="F45" s="228"/>
      <x:c r="G45" s="229" t="str">
        <x:f>IF(A45="","",IF(E45="CNY",1,IF(E45="JPY",'说明与目标'!$B$10,"")))</x:f>
      </x:c>
      <x:c r="H45" s="229" t="str">
        <x:f>IF(A45="","",F45*G45)</x:f>
      </x:c>
      <x:c r="I45" s="224"/>
      <x:c r="J45" s="224"/>
      <x:c r="K45" s="226"/>
      <x:c r="L45" s="226"/>
    </x:row>
    <x:row r="46">
      <x:c r="A46" s="225"/>
      <x:c r="B46" s="224"/>
      <x:c r="C46" s="224"/>
      <x:c r="D46" s="224"/>
      <x:c r="E46" s="224"/>
      <x:c r="F46" s="228"/>
      <x:c r="G46" s="229" t="str">
        <x:f>IF(A46="","",IF(E46="CNY",1,IF(E46="JPY",'说明与目标'!$B$10,"")))</x:f>
      </x:c>
      <x:c r="H46" s="229" t="str">
        <x:f>IF(A46="","",F46*G46)</x:f>
      </x:c>
      <x:c r="I46" s="224"/>
      <x:c r="J46" s="224"/>
      <x:c r="K46" s="226"/>
      <x:c r="L46" s="226"/>
    </x:row>
    <x:row r="47">
      <x:c r="A47" s="225"/>
      <x:c r="B47" s="224"/>
      <x:c r="C47" s="224"/>
      <x:c r="D47" s="224"/>
      <x:c r="E47" s="224"/>
      <x:c r="F47" s="228"/>
      <x:c r="G47" s="229" t="str">
        <x:f>IF(A47="","",IF(E47="CNY",1,IF(E47="JPY",'说明与目标'!$B$10,"")))</x:f>
      </x:c>
      <x:c r="H47" s="229" t="str">
        <x:f>IF(A47="","",F47*G47)</x:f>
      </x:c>
      <x:c r="I47" s="224"/>
      <x:c r="J47" s="224"/>
      <x:c r="K47" s="226"/>
      <x:c r="L47" s="226"/>
    </x:row>
    <x:row r="48">
      <x:c r="A48" s="225"/>
      <x:c r="B48" s="224"/>
      <x:c r="C48" s="224"/>
      <x:c r="D48" s="224"/>
      <x:c r="E48" s="224"/>
      <x:c r="F48" s="228"/>
      <x:c r="G48" s="229" t="str">
        <x:f>IF(A48="","",IF(E48="CNY",1,IF(E48="JPY",'说明与目标'!$B$10,"")))</x:f>
      </x:c>
      <x:c r="H48" s="229" t="str">
        <x:f>IF(A48="","",F48*G48)</x:f>
      </x:c>
      <x:c r="I48" s="224"/>
      <x:c r="J48" s="224"/>
      <x:c r="K48" s="226"/>
      <x:c r="L48" s="226"/>
    </x:row>
    <x:row r="49">
      <x:c r="A49" s="225"/>
      <x:c r="B49" s="224"/>
      <x:c r="C49" s="224"/>
      <x:c r="D49" s="224"/>
      <x:c r="E49" s="224"/>
      <x:c r="F49" s="228"/>
      <x:c r="G49" s="229" t="str">
        <x:f>IF(A49="","",IF(E49="CNY",1,IF(E49="JPY",'说明与目标'!$B$10,"")))</x:f>
      </x:c>
      <x:c r="H49" s="229" t="str">
        <x:f>IF(A49="","",F49*G49)</x:f>
      </x:c>
      <x:c r="I49" s="224"/>
      <x:c r="J49" s="224"/>
      <x:c r="K49" s="226"/>
      <x:c r="L49" s="226"/>
    </x:row>
    <x:row r="50">
      <x:c r="A50" s="225"/>
      <x:c r="B50" s="224"/>
      <x:c r="C50" s="224"/>
      <x:c r="D50" s="224"/>
      <x:c r="E50" s="224"/>
      <x:c r="F50" s="228"/>
      <x:c r="G50" s="229" t="str">
        <x:f>IF(A50="","",IF(E50="CNY",1,IF(E50="JPY",'说明与目标'!$B$10,"")))</x:f>
      </x:c>
      <x:c r="H50" s="229" t="str">
        <x:f>IF(A50="","",F50*G50)</x:f>
      </x:c>
      <x:c r="I50" s="224"/>
      <x:c r="J50" s="224"/>
      <x:c r="K50" s="226"/>
      <x:c r="L50" s="226"/>
    </x:row>
    <x:row r="51">
      <x:c r="A51" s="225"/>
      <x:c r="B51" s="224"/>
      <x:c r="C51" s="224"/>
      <x:c r="D51" s="224"/>
      <x:c r="E51" s="224"/>
      <x:c r="F51" s="228"/>
      <x:c r="G51" s="229" t="str">
        <x:f>IF(A51="","",IF(E51="CNY",1,IF(E51="JPY",'说明与目标'!$B$10,"")))</x:f>
      </x:c>
      <x:c r="H51" s="229" t="str">
        <x:f>IF(A51="","",F51*G51)</x:f>
      </x:c>
      <x:c r="I51" s="224"/>
      <x:c r="J51" s="224"/>
      <x:c r="K51" s="226"/>
      <x:c r="L51" s="226"/>
    </x:row>
    <x:row r="52">
      <x:c r="A52" s="225"/>
      <x:c r="B52" s="224"/>
      <x:c r="C52" s="224"/>
      <x:c r="D52" s="224"/>
      <x:c r="E52" s="224"/>
      <x:c r="F52" s="228"/>
      <x:c r="G52" s="229" t="str">
        <x:f>IF(A52="","",IF(E52="CNY",1,IF(E52="JPY",'说明与目标'!$B$10,"")))</x:f>
      </x:c>
      <x:c r="H52" s="229" t="str">
        <x:f>IF(A52="","",F52*G52)</x:f>
      </x:c>
      <x:c r="I52" s="224"/>
      <x:c r="J52" s="224"/>
      <x:c r="K52" s="226"/>
      <x:c r="L52" s="226"/>
    </x:row>
    <x:row r="53">
      <x:c r="A53" s="225"/>
      <x:c r="B53" s="224"/>
      <x:c r="C53" s="224"/>
      <x:c r="D53" s="224"/>
      <x:c r="E53" s="224"/>
      <x:c r="F53" s="228"/>
      <x:c r="G53" s="229" t="str">
        <x:f>IF(A53="","",IF(E53="CNY",1,IF(E53="JPY",'说明与目标'!$B$10,"")))</x:f>
      </x:c>
      <x:c r="H53" s="229" t="str">
        <x:f>IF(A53="","",F53*G53)</x:f>
      </x:c>
      <x:c r="I53" s="224"/>
      <x:c r="J53" s="224"/>
      <x:c r="K53" s="226"/>
      <x:c r="L53" s="226"/>
    </x:row>
    <x:row r="54">
      <x:c r="A54" s="225"/>
      <x:c r="B54" s="224"/>
      <x:c r="C54" s="224"/>
      <x:c r="D54" s="224"/>
      <x:c r="E54" s="224"/>
      <x:c r="F54" s="228"/>
      <x:c r="G54" s="229" t="str">
        <x:f>IF(A54="","",IF(E54="CNY",1,IF(E54="JPY",'说明与目标'!$B$10,"")))</x:f>
      </x:c>
      <x:c r="H54" s="229" t="str">
        <x:f>IF(A54="","",F54*G54)</x:f>
      </x:c>
      <x:c r="I54" s="224"/>
      <x:c r="J54" s="224"/>
      <x:c r="K54" s="226"/>
      <x:c r="L54" s="226"/>
    </x:row>
    <x:row r="55">
      <x:c r="A55" s="225"/>
      <x:c r="B55" s="224"/>
      <x:c r="C55" s="224"/>
      <x:c r="D55" s="224"/>
      <x:c r="E55" s="224"/>
      <x:c r="F55" s="228"/>
      <x:c r="G55" s="229" t="str">
        <x:f>IF(A55="","",IF(E55="CNY",1,IF(E55="JPY",'说明与目标'!$B$10,"")))</x:f>
      </x:c>
      <x:c r="H55" s="229" t="str">
        <x:f>IF(A55="","",F55*G55)</x:f>
      </x:c>
      <x:c r="I55" s="224"/>
      <x:c r="J55" s="224"/>
      <x:c r="K55" s="226"/>
      <x:c r="L55" s="226"/>
    </x:row>
    <x:row r="56">
      <x:c r="A56" s="225"/>
      <x:c r="B56" s="224"/>
      <x:c r="C56" s="224"/>
      <x:c r="D56" s="224"/>
      <x:c r="E56" s="224"/>
      <x:c r="F56" s="228"/>
      <x:c r="G56" s="229" t="str">
        <x:f>IF(A56="","",IF(E56="CNY",1,IF(E56="JPY",'说明与目标'!$B$10,"")))</x:f>
      </x:c>
      <x:c r="H56" s="229" t="str">
        <x:f>IF(A56="","",F56*G56)</x:f>
      </x:c>
      <x:c r="I56" s="224"/>
      <x:c r="J56" s="224"/>
      <x:c r="K56" s="226"/>
      <x:c r="L56" s="226"/>
    </x:row>
    <x:row r="57">
      <x:c r="A57" s="225"/>
      <x:c r="B57" s="224"/>
      <x:c r="C57" s="224"/>
      <x:c r="D57" s="224"/>
      <x:c r="E57" s="224"/>
      <x:c r="F57" s="228"/>
      <x:c r="G57" s="229" t="str">
        <x:f>IF(A57="","",IF(E57="CNY",1,IF(E57="JPY",'说明与目标'!$B$10,"")))</x:f>
      </x:c>
      <x:c r="H57" s="229" t="str">
        <x:f>IF(A57="","",F57*G57)</x:f>
      </x:c>
      <x:c r="I57" s="224"/>
      <x:c r="J57" s="224"/>
      <x:c r="K57" s="226"/>
      <x:c r="L57" s="226"/>
    </x:row>
    <x:row r="58">
      <x:c r="A58" s="225"/>
      <x:c r="B58" s="224"/>
      <x:c r="C58" s="224"/>
      <x:c r="D58" s="224"/>
      <x:c r="E58" s="224"/>
      <x:c r="F58" s="228"/>
      <x:c r="G58" s="229" t="str">
        <x:f>IF(A58="","",IF(E58="CNY",1,IF(E58="JPY",'说明与目标'!$B$10,"")))</x:f>
      </x:c>
      <x:c r="H58" s="229" t="str">
        <x:f>IF(A58="","",F58*G58)</x:f>
      </x:c>
      <x:c r="I58" s="224"/>
      <x:c r="J58" s="224"/>
      <x:c r="K58" s="226"/>
      <x:c r="L58" s="226"/>
    </x:row>
    <x:row r="59">
      <x:c r="A59" s="225"/>
      <x:c r="B59" s="224"/>
      <x:c r="C59" s="224"/>
      <x:c r="D59" s="224"/>
      <x:c r="E59" s="224"/>
      <x:c r="F59" s="228"/>
      <x:c r="G59" s="229" t="str">
        <x:f>IF(A59="","",IF(E59="CNY",1,IF(E59="JPY",'说明与目标'!$B$10,"")))</x:f>
      </x:c>
      <x:c r="H59" s="229" t="str">
        <x:f>IF(A59="","",F59*G59)</x:f>
      </x:c>
      <x:c r="I59" s="224"/>
      <x:c r="J59" s="224"/>
      <x:c r="K59" s="226"/>
      <x:c r="L59" s="226"/>
    </x:row>
    <x:row r="60">
      <x:c r="A60" s="225"/>
      <x:c r="B60" s="224"/>
      <x:c r="C60" s="224"/>
      <x:c r="D60" s="224"/>
      <x:c r="E60" s="224"/>
      <x:c r="F60" s="228"/>
      <x:c r="G60" s="229" t="str">
        <x:f>IF(A60="","",IF(E60="CNY",1,IF(E60="JPY",'说明与目标'!$B$10,"")))</x:f>
      </x:c>
      <x:c r="H60" s="229" t="str">
        <x:f>IF(A60="","",F60*G60)</x:f>
      </x:c>
      <x:c r="I60" s="224"/>
      <x:c r="J60" s="224"/>
      <x:c r="K60" s="226"/>
      <x:c r="L60" s="226"/>
    </x:row>
    <x:row r="61">
      <x:c r="A61" s="225"/>
      <x:c r="B61" s="224"/>
      <x:c r="C61" s="224"/>
      <x:c r="D61" s="224"/>
      <x:c r="E61" s="224"/>
      <x:c r="F61" s="228"/>
      <x:c r="G61" s="229" t="str">
        <x:f>IF(A61="","",IF(E61="CNY",1,IF(E61="JPY",'说明与目标'!$B$10,"")))</x:f>
      </x:c>
      <x:c r="H61" s="229" t="str">
        <x:f>IF(A61="","",F61*G61)</x:f>
      </x:c>
      <x:c r="I61" s="224"/>
      <x:c r="J61" s="224"/>
      <x:c r="K61" s="226"/>
      <x:c r="L61" s="226"/>
    </x:row>
    <x:row r="62">
      <x:c r="A62" s="225"/>
      <x:c r="B62" s="224"/>
      <x:c r="C62" s="224"/>
      <x:c r="D62" s="224"/>
      <x:c r="E62" s="224"/>
      <x:c r="F62" s="228"/>
      <x:c r="G62" s="229" t="str">
        <x:f>IF(A62="","",IF(E62="CNY",1,IF(E62="JPY",'说明与目标'!$B$10,"")))</x:f>
      </x:c>
      <x:c r="H62" s="229" t="str">
        <x:f>IF(A62="","",F62*G62)</x:f>
      </x:c>
      <x:c r="I62" s="224"/>
      <x:c r="J62" s="224"/>
      <x:c r="K62" s="226"/>
      <x:c r="L62" s="226"/>
    </x:row>
    <x:row r="63">
      <x:c r="A63" s="225"/>
      <x:c r="B63" s="224"/>
      <x:c r="C63" s="224"/>
      <x:c r="D63" s="224"/>
      <x:c r="E63" s="224"/>
      <x:c r="F63" s="228"/>
      <x:c r="G63" s="229" t="str">
        <x:f>IF(A63="","",IF(E63="CNY",1,IF(E63="JPY",'说明与目标'!$B$10,"")))</x:f>
      </x:c>
      <x:c r="H63" s="229" t="str">
        <x:f>IF(A63="","",F63*G63)</x:f>
      </x:c>
      <x:c r="I63" s="224"/>
      <x:c r="J63" s="224"/>
      <x:c r="K63" s="226"/>
      <x:c r="L63" s="226"/>
    </x:row>
    <x:row r="64">
      <x:c r="A64" s="225"/>
      <x:c r="B64" s="224"/>
      <x:c r="C64" s="224"/>
      <x:c r="D64" s="224"/>
      <x:c r="E64" s="224"/>
      <x:c r="F64" s="228"/>
      <x:c r="G64" s="229" t="str">
        <x:f>IF(A64="","",IF(E64="CNY",1,IF(E64="JPY",'说明与目标'!$B$10,"")))</x:f>
      </x:c>
      <x:c r="H64" s="229" t="str">
        <x:f>IF(A64="","",F64*G64)</x:f>
      </x:c>
      <x:c r="I64" s="224"/>
      <x:c r="J64" s="224"/>
      <x:c r="K64" s="226"/>
      <x:c r="L64" s="226"/>
    </x:row>
    <x:row r="65">
      <x:c r="A65" s="225"/>
      <x:c r="B65" s="224"/>
      <x:c r="C65" s="224"/>
      <x:c r="D65" s="224"/>
      <x:c r="E65" s="224"/>
      <x:c r="F65" s="228"/>
      <x:c r="G65" s="229" t="str">
        <x:f>IF(A65="","",IF(E65="CNY",1,IF(E65="JPY",'说明与目标'!$B$10,"")))</x:f>
      </x:c>
      <x:c r="H65" s="229" t="str">
        <x:f>IF(A65="","",F65*G65)</x:f>
      </x:c>
      <x:c r="I65" s="224"/>
      <x:c r="J65" s="224"/>
      <x:c r="K65" s="226"/>
      <x:c r="L65" s="226"/>
    </x:row>
    <x:row r="66">
      <x:c r="A66" s="225"/>
      <x:c r="B66" s="224"/>
      <x:c r="C66" s="224"/>
      <x:c r="D66" s="224"/>
      <x:c r="E66" s="224"/>
      <x:c r="F66" s="228"/>
      <x:c r="G66" s="229" t="str">
        <x:f>IF(A66="","",IF(E66="CNY",1,IF(E66="JPY",'说明与目标'!$B$10,"")))</x:f>
      </x:c>
      <x:c r="H66" s="229" t="str">
        <x:f>IF(A66="","",F66*G66)</x:f>
      </x:c>
      <x:c r="I66" s="224"/>
      <x:c r="J66" s="224"/>
      <x:c r="K66" s="226"/>
      <x:c r="L66" s="226"/>
    </x:row>
    <x:row r="67">
      <x:c r="A67" s="225"/>
      <x:c r="B67" s="224"/>
      <x:c r="C67" s="224"/>
      <x:c r="D67" s="224"/>
      <x:c r="E67" s="224"/>
      <x:c r="F67" s="228"/>
      <x:c r="G67" s="229" t="str">
        <x:f>IF(A67="","",IF(E67="CNY",1,IF(E67="JPY",'说明与目标'!$B$10,"")))</x:f>
      </x:c>
      <x:c r="H67" s="229" t="str">
        <x:f>IF(A67="","",F67*G67)</x:f>
      </x:c>
      <x:c r="I67" s="224"/>
      <x:c r="J67" s="224"/>
      <x:c r="K67" s="226"/>
      <x:c r="L67" s="226"/>
    </x:row>
    <x:row r="68">
      <x:c r="A68" s="225"/>
      <x:c r="B68" s="224"/>
      <x:c r="C68" s="224"/>
      <x:c r="D68" s="224"/>
      <x:c r="E68" s="224"/>
      <x:c r="F68" s="228"/>
      <x:c r="G68" s="229" t="str">
        <x:f>IF(A68="","",IF(E68="CNY",1,IF(E68="JPY",'说明与目标'!$B$10,"")))</x:f>
      </x:c>
      <x:c r="H68" s="229" t="str">
        <x:f>IF(A68="","",F68*G68)</x:f>
      </x:c>
      <x:c r="I68" s="224"/>
      <x:c r="J68" s="224"/>
      <x:c r="K68" s="226"/>
      <x:c r="L68" s="226"/>
    </x:row>
    <x:row r="69">
      <x:c r="A69" s="225"/>
      <x:c r="B69" s="224"/>
      <x:c r="C69" s="224"/>
      <x:c r="D69" s="224"/>
      <x:c r="E69" s="224"/>
      <x:c r="F69" s="228"/>
      <x:c r="G69" s="229" t="str">
        <x:f>IF(A69="","",IF(E69="CNY",1,IF(E69="JPY",'说明与目标'!$B$10,"")))</x:f>
      </x:c>
      <x:c r="H69" s="229" t="str">
        <x:f>IF(A69="","",F69*G69)</x:f>
      </x:c>
      <x:c r="I69" s="224"/>
      <x:c r="J69" s="224"/>
      <x:c r="K69" s="226"/>
      <x:c r="L69" s="226"/>
    </x:row>
    <x:row r="70">
      <x:c r="A70" s="225"/>
      <x:c r="B70" s="224"/>
      <x:c r="C70" s="224"/>
      <x:c r="D70" s="224"/>
      <x:c r="E70" s="224"/>
      <x:c r="F70" s="228"/>
      <x:c r="G70" s="229" t="str">
        <x:f>IF(A70="","",IF(E70="CNY",1,IF(E70="JPY",'说明与目标'!$B$10,"")))</x:f>
      </x:c>
      <x:c r="H70" s="229" t="str">
        <x:f>IF(A70="","",F70*G70)</x:f>
      </x:c>
      <x:c r="I70" s="224"/>
      <x:c r="J70" s="224"/>
      <x:c r="K70" s="226"/>
      <x:c r="L70" s="226"/>
    </x:row>
    <x:row r="71">
      <x:c r="A71" s="225"/>
      <x:c r="B71" s="224"/>
      <x:c r="C71" s="224"/>
      <x:c r="D71" s="224"/>
      <x:c r="E71" s="224"/>
      <x:c r="F71" s="228"/>
      <x:c r="G71" s="229" t="str">
        <x:f>IF(A71="","",IF(E71="CNY",1,IF(E71="JPY",'说明与目标'!$B$10,"")))</x:f>
      </x:c>
      <x:c r="H71" s="229" t="str">
        <x:f>IF(A71="","",F71*G71)</x:f>
      </x:c>
      <x:c r="I71" s="224"/>
      <x:c r="J71" s="224"/>
      <x:c r="K71" s="226"/>
      <x:c r="L71" s="226"/>
    </x:row>
    <x:row r="72">
      <x:c r="A72" s="225"/>
      <x:c r="B72" s="224"/>
      <x:c r="C72" s="224"/>
      <x:c r="D72" s="224"/>
      <x:c r="E72" s="224"/>
      <x:c r="F72" s="228"/>
      <x:c r="G72" s="229" t="str">
        <x:f>IF(A72="","",IF(E72="CNY",1,IF(E72="JPY",'说明与目标'!$B$10,"")))</x:f>
      </x:c>
      <x:c r="H72" s="229" t="str">
        <x:f>IF(A72="","",F72*G72)</x:f>
      </x:c>
      <x:c r="I72" s="224"/>
      <x:c r="J72" s="224"/>
      <x:c r="K72" s="226"/>
      <x:c r="L72" s="226"/>
    </x:row>
    <x:row r="73">
      <x:c r="A73" s="225"/>
      <x:c r="B73" s="224"/>
      <x:c r="C73" s="224"/>
      <x:c r="D73" s="224"/>
      <x:c r="E73" s="224"/>
      <x:c r="F73" s="228"/>
      <x:c r="G73" s="229" t="str">
        <x:f>IF(A73="","",IF(E73="CNY",1,IF(E73="JPY",'说明与目标'!$B$10,"")))</x:f>
      </x:c>
      <x:c r="H73" s="229" t="str">
        <x:f>IF(A73="","",F73*G73)</x:f>
      </x:c>
      <x:c r="I73" s="224"/>
      <x:c r="J73" s="224"/>
      <x:c r="K73" s="226"/>
      <x:c r="L73" s="226"/>
    </x:row>
    <x:row r="74">
      <x:c r="A74" s="225"/>
      <x:c r="B74" s="224"/>
      <x:c r="C74" s="224"/>
      <x:c r="D74" s="224"/>
      <x:c r="E74" s="224"/>
      <x:c r="F74" s="228"/>
      <x:c r="G74" s="229" t="str">
        <x:f>IF(A74="","",IF(E74="CNY",1,IF(E74="JPY",'说明与目标'!$B$10,"")))</x:f>
      </x:c>
      <x:c r="H74" s="229" t="str">
        <x:f>IF(A74="","",F74*G74)</x:f>
      </x:c>
      <x:c r="I74" s="224"/>
      <x:c r="J74" s="224"/>
      <x:c r="K74" s="226"/>
      <x:c r="L74" s="226"/>
    </x:row>
    <x:row r="75">
      <x:c r="A75" s="225"/>
      <x:c r="B75" s="224"/>
      <x:c r="C75" s="224"/>
      <x:c r="D75" s="224"/>
      <x:c r="E75" s="224"/>
      <x:c r="F75" s="228"/>
      <x:c r="G75" s="229" t="str">
        <x:f>IF(A75="","",IF(E75="CNY",1,IF(E75="JPY",'说明与目标'!$B$10,"")))</x:f>
      </x:c>
      <x:c r="H75" s="229" t="str">
        <x:f>IF(A75="","",F75*G75)</x:f>
      </x:c>
      <x:c r="I75" s="224"/>
      <x:c r="J75" s="224"/>
      <x:c r="K75" s="226"/>
      <x:c r="L75" s="226"/>
    </x:row>
    <x:row r="76">
      <x:c r="A76" s="225"/>
      <x:c r="B76" s="224"/>
      <x:c r="C76" s="224"/>
      <x:c r="D76" s="224"/>
      <x:c r="E76" s="224"/>
      <x:c r="F76" s="228"/>
      <x:c r="G76" s="229" t="str">
        <x:f>IF(A76="","",IF(E76="CNY",1,IF(E76="JPY",'说明与目标'!$B$10,"")))</x:f>
      </x:c>
      <x:c r="H76" s="229" t="str">
        <x:f>IF(A76="","",F76*G76)</x:f>
      </x:c>
      <x:c r="I76" s="224"/>
      <x:c r="J76" s="224"/>
      <x:c r="K76" s="226"/>
      <x:c r="L76" s="226"/>
    </x:row>
    <x:row r="77">
      <x:c r="A77" s="225"/>
      <x:c r="B77" s="224"/>
      <x:c r="C77" s="224"/>
      <x:c r="D77" s="224"/>
      <x:c r="E77" s="224"/>
      <x:c r="F77" s="228"/>
      <x:c r="G77" s="229" t="str">
        <x:f>IF(A77="","",IF(E77="CNY",1,IF(E77="JPY",'说明与目标'!$B$10,"")))</x:f>
      </x:c>
      <x:c r="H77" s="229" t="str">
        <x:f>IF(A77="","",F77*G77)</x:f>
      </x:c>
      <x:c r="I77" s="224"/>
      <x:c r="J77" s="224"/>
      <x:c r="K77" s="226"/>
      <x:c r="L77" s="226"/>
    </x:row>
    <x:row r="78">
      <x:c r="A78" s="225"/>
      <x:c r="B78" s="224"/>
      <x:c r="C78" s="224"/>
      <x:c r="D78" s="224"/>
      <x:c r="E78" s="224"/>
      <x:c r="F78" s="228"/>
      <x:c r="G78" s="229" t="str">
        <x:f>IF(A78="","",IF(E78="CNY",1,IF(E78="JPY",'说明与目标'!$B$10,"")))</x:f>
      </x:c>
      <x:c r="H78" s="229" t="str">
        <x:f>IF(A78="","",F78*G78)</x:f>
      </x:c>
      <x:c r="I78" s="224"/>
      <x:c r="J78" s="224"/>
      <x:c r="K78" s="226"/>
      <x:c r="L78" s="226"/>
    </x:row>
    <x:row r="79">
      <x:c r="A79" s="225"/>
      <x:c r="B79" s="224"/>
      <x:c r="C79" s="224"/>
      <x:c r="D79" s="224"/>
      <x:c r="E79" s="224"/>
      <x:c r="F79" s="228"/>
      <x:c r="G79" s="229" t="str">
        <x:f>IF(A79="","",IF(E79="CNY",1,IF(E79="JPY",'说明与目标'!$B$10,"")))</x:f>
      </x:c>
      <x:c r="H79" s="229" t="str">
        <x:f>IF(A79="","",F79*G79)</x:f>
      </x:c>
      <x:c r="I79" s="224"/>
      <x:c r="J79" s="224"/>
      <x:c r="K79" s="226"/>
      <x:c r="L79" s="226"/>
    </x:row>
    <x:row r="80">
      <x:c r="A80" s="225"/>
      <x:c r="B80" s="224"/>
      <x:c r="C80" s="224"/>
      <x:c r="D80" s="224"/>
      <x:c r="E80" s="224"/>
      <x:c r="F80" s="228"/>
      <x:c r="G80" s="229" t="str">
        <x:f>IF(A80="","",IF(E80="CNY",1,IF(E80="JPY",'说明与目标'!$B$10,"")))</x:f>
      </x:c>
      <x:c r="H80" s="229" t="str">
        <x:f>IF(A80="","",F80*G80)</x:f>
      </x:c>
      <x:c r="I80" s="224"/>
      <x:c r="J80" s="224"/>
      <x:c r="K80" s="226"/>
      <x:c r="L80" s="226"/>
    </x:row>
    <x:row r="81">
      <x:c r="A81" s="225"/>
      <x:c r="B81" s="224"/>
      <x:c r="C81" s="224"/>
      <x:c r="D81" s="224"/>
      <x:c r="E81" s="224"/>
      <x:c r="F81" s="228"/>
      <x:c r="G81" s="229" t="str">
        <x:f>IF(A81="","",IF(E81="CNY",1,IF(E81="JPY",'说明与目标'!$B$10,"")))</x:f>
      </x:c>
      <x:c r="H81" s="229" t="str">
        <x:f>IF(A81="","",F81*G81)</x:f>
      </x:c>
      <x:c r="I81" s="224"/>
      <x:c r="J81" s="224"/>
      <x:c r="K81" s="226"/>
      <x:c r="L81" s="226"/>
    </x:row>
    <x:row r="82">
      <x:c r="A82" s="225"/>
      <x:c r="B82" s="224"/>
      <x:c r="C82" s="224"/>
      <x:c r="D82" s="224"/>
      <x:c r="E82" s="224"/>
      <x:c r="F82" s="228"/>
      <x:c r="G82" s="229" t="str">
        <x:f>IF(A82="","",IF(E82="CNY",1,IF(E82="JPY",'说明与目标'!$B$10,"")))</x:f>
      </x:c>
      <x:c r="H82" s="229" t="str">
        <x:f>IF(A82="","",F82*G82)</x:f>
      </x:c>
      <x:c r="I82" s="224"/>
      <x:c r="J82" s="224"/>
      <x:c r="K82" s="226"/>
      <x:c r="L82" s="226"/>
    </x:row>
    <x:row r="83">
      <x:c r="A83" s="225"/>
      <x:c r="B83" s="224"/>
      <x:c r="C83" s="224"/>
      <x:c r="D83" s="224"/>
      <x:c r="E83" s="224"/>
      <x:c r="F83" s="228"/>
      <x:c r="G83" s="229" t="str">
        <x:f>IF(A83="","",IF(E83="CNY",1,IF(E83="JPY",'说明与目标'!$B$10,"")))</x:f>
      </x:c>
      <x:c r="H83" s="229" t="str">
        <x:f>IF(A83="","",F83*G83)</x:f>
      </x:c>
      <x:c r="I83" s="224"/>
      <x:c r="J83" s="224"/>
      <x:c r="K83" s="226"/>
      <x:c r="L83" s="226"/>
    </x:row>
    <x:row r="84">
      <x:c r="A84" s="225"/>
      <x:c r="B84" s="224"/>
      <x:c r="C84" s="224"/>
      <x:c r="D84" s="224"/>
      <x:c r="E84" s="224"/>
      <x:c r="F84" s="228"/>
      <x:c r="G84" s="229" t="str">
        <x:f>IF(A84="","",IF(E84="CNY",1,IF(E84="JPY",'说明与目标'!$B$10,"")))</x:f>
      </x:c>
      <x:c r="H84" s="229" t="str">
        <x:f>IF(A84="","",F84*G84)</x:f>
      </x:c>
      <x:c r="I84" s="224"/>
      <x:c r="J84" s="224"/>
      <x:c r="K84" s="226"/>
      <x:c r="L84" s="226"/>
    </x:row>
    <x:row r="85">
      <x:c r="A85" s="225"/>
      <x:c r="B85" s="224"/>
      <x:c r="C85" s="224"/>
      <x:c r="D85" s="224"/>
      <x:c r="E85" s="224"/>
      <x:c r="F85" s="228"/>
      <x:c r="G85" s="229" t="str">
        <x:f>IF(A85="","",IF(E85="CNY",1,IF(E85="JPY",'说明与目标'!$B$10,"")))</x:f>
      </x:c>
      <x:c r="H85" s="229" t="str">
        <x:f>IF(A85="","",F85*G85)</x:f>
      </x:c>
      <x:c r="I85" s="224"/>
      <x:c r="J85" s="224"/>
      <x:c r="K85" s="226"/>
      <x:c r="L85" s="226"/>
    </x:row>
    <x:row r="86">
      <x:c r="A86" s="225"/>
      <x:c r="B86" s="224"/>
      <x:c r="C86" s="224"/>
      <x:c r="D86" s="224"/>
      <x:c r="E86" s="224"/>
      <x:c r="F86" s="228"/>
      <x:c r="G86" s="229" t="str">
        <x:f>IF(A86="","",IF(E86="CNY",1,IF(E86="JPY",'说明与目标'!$B$10,"")))</x:f>
      </x:c>
      <x:c r="H86" s="229" t="str">
        <x:f>IF(A86="","",F86*G86)</x:f>
      </x:c>
      <x:c r="I86" s="224"/>
      <x:c r="J86" s="224"/>
      <x:c r="K86" s="226"/>
      <x:c r="L86" s="226"/>
    </x:row>
    <x:row r="87">
      <x:c r="A87" s="225"/>
      <x:c r="B87" s="224"/>
      <x:c r="C87" s="224"/>
      <x:c r="D87" s="224"/>
      <x:c r="E87" s="224"/>
      <x:c r="F87" s="228"/>
      <x:c r="G87" s="229" t="str">
        <x:f>IF(A87="","",IF(E87="CNY",1,IF(E87="JPY",'说明与目标'!$B$10,"")))</x:f>
      </x:c>
      <x:c r="H87" s="229" t="str">
        <x:f>IF(A87="","",F87*G87)</x:f>
      </x:c>
      <x:c r="I87" s="224"/>
      <x:c r="J87" s="224"/>
      <x:c r="K87" s="226"/>
      <x:c r="L87" s="226"/>
    </x:row>
    <x:row r="88">
      <x:c r="A88" s="225"/>
      <x:c r="B88" s="224"/>
      <x:c r="C88" s="224"/>
      <x:c r="D88" s="224"/>
      <x:c r="E88" s="224"/>
      <x:c r="F88" s="228"/>
      <x:c r="G88" s="229" t="str">
        <x:f>IF(A88="","",IF(E88="CNY",1,IF(E88="JPY",'说明与目标'!$B$10,"")))</x:f>
      </x:c>
      <x:c r="H88" s="229" t="str">
        <x:f>IF(A88="","",F88*G88)</x:f>
      </x:c>
      <x:c r="I88" s="224"/>
      <x:c r="J88" s="224"/>
      <x:c r="K88" s="226"/>
      <x:c r="L88" s="226"/>
    </x:row>
    <x:row r="89">
      <x:c r="A89" s="225"/>
      <x:c r="B89" s="224"/>
      <x:c r="C89" s="224"/>
      <x:c r="D89" s="224"/>
      <x:c r="E89" s="224"/>
      <x:c r="F89" s="228"/>
      <x:c r="G89" s="229" t="str">
        <x:f>IF(A89="","",IF(E89="CNY",1,IF(E89="JPY",'说明与目标'!$B$10,"")))</x:f>
      </x:c>
      <x:c r="H89" s="229" t="str">
        <x:f>IF(A89="","",F89*G89)</x:f>
      </x:c>
      <x:c r="I89" s="224"/>
      <x:c r="J89" s="224"/>
      <x:c r="K89" s="226"/>
      <x:c r="L89" s="226"/>
    </x:row>
    <x:row r="90">
      <x:c r="A90" s="225"/>
      <x:c r="B90" s="224"/>
      <x:c r="C90" s="224"/>
      <x:c r="D90" s="224"/>
      <x:c r="E90" s="224"/>
      <x:c r="F90" s="228"/>
      <x:c r="G90" s="229" t="str">
        <x:f>IF(A90="","",IF(E90="CNY",1,IF(E90="JPY",'说明与目标'!$B$10,"")))</x:f>
      </x:c>
      <x:c r="H90" s="229" t="str">
        <x:f>IF(A90="","",F90*G90)</x:f>
      </x:c>
      <x:c r="I90" s="224"/>
      <x:c r="J90" s="224"/>
      <x:c r="K90" s="226"/>
      <x:c r="L90" s="226"/>
    </x:row>
    <x:row r="91">
      <x:c r="A91" s="225"/>
      <x:c r="B91" s="224"/>
      <x:c r="C91" s="224"/>
      <x:c r="D91" s="224"/>
      <x:c r="E91" s="224"/>
      <x:c r="F91" s="228"/>
      <x:c r="G91" s="229" t="str">
        <x:f>IF(A91="","",IF(E91="CNY",1,IF(E91="JPY",'说明与目标'!$B$10,"")))</x:f>
      </x:c>
      <x:c r="H91" s="229" t="str">
        <x:f>IF(A91="","",F91*G91)</x:f>
      </x:c>
      <x:c r="I91" s="224"/>
      <x:c r="J91" s="224"/>
      <x:c r="K91" s="226"/>
      <x:c r="L91" s="226"/>
    </x:row>
    <x:row r="92">
      <x:c r="A92" s="225"/>
      <x:c r="B92" s="224"/>
      <x:c r="C92" s="224"/>
      <x:c r="D92" s="224"/>
      <x:c r="E92" s="224"/>
      <x:c r="F92" s="228"/>
      <x:c r="G92" s="229" t="str">
        <x:f>IF(A92="","",IF(E92="CNY",1,IF(E92="JPY",'说明与目标'!$B$10,"")))</x:f>
      </x:c>
      <x:c r="H92" s="229" t="str">
        <x:f>IF(A92="","",F92*G92)</x:f>
      </x:c>
      <x:c r="I92" s="224"/>
      <x:c r="J92" s="224"/>
      <x:c r="K92" s="226"/>
      <x:c r="L92" s="226"/>
    </x:row>
    <x:row r="93">
      <x:c r="A93" s="225"/>
      <x:c r="B93" s="224"/>
      <x:c r="C93" s="224"/>
      <x:c r="D93" s="224"/>
      <x:c r="E93" s="224"/>
      <x:c r="F93" s="228"/>
      <x:c r="G93" s="229" t="str">
        <x:f>IF(A93="","",IF(E93="CNY",1,IF(E93="JPY",'说明与目标'!$B$10,"")))</x:f>
      </x:c>
      <x:c r="H93" s="229" t="str">
        <x:f>IF(A93="","",F93*G93)</x:f>
      </x:c>
      <x:c r="I93" s="224"/>
      <x:c r="J93" s="224"/>
      <x:c r="K93" s="226"/>
      <x:c r="L93" s="226"/>
    </x:row>
    <x:row r="94">
      <x:c r="A94" s="225"/>
      <x:c r="B94" s="224"/>
      <x:c r="C94" s="224"/>
      <x:c r="D94" s="224"/>
      <x:c r="E94" s="224"/>
      <x:c r="F94" s="228"/>
      <x:c r="G94" s="229" t="str">
        <x:f>IF(A94="","",IF(E94="CNY",1,IF(E94="JPY",'说明与目标'!$B$10,"")))</x:f>
      </x:c>
      <x:c r="H94" s="229" t="str">
        <x:f>IF(A94="","",F94*G94)</x:f>
      </x:c>
      <x:c r="I94" s="224"/>
      <x:c r="J94" s="224"/>
      <x:c r="K94" s="226"/>
      <x:c r="L94" s="226"/>
    </x:row>
    <x:row r="95">
      <x:c r="A95" s="225"/>
      <x:c r="B95" s="224"/>
      <x:c r="C95" s="224"/>
      <x:c r="D95" s="224"/>
      <x:c r="E95" s="224"/>
      <x:c r="F95" s="228"/>
      <x:c r="G95" s="229" t="str">
        <x:f>IF(A95="","",IF(E95="CNY",1,IF(E95="JPY",'说明与目标'!$B$10,"")))</x:f>
      </x:c>
      <x:c r="H95" s="229" t="str">
        <x:f>IF(A95="","",F95*G95)</x:f>
      </x:c>
      <x:c r="I95" s="224"/>
      <x:c r="J95" s="224"/>
      <x:c r="K95" s="226"/>
      <x:c r="L95" s="226"/>
    </x:row>
    <x:row r="96">
      <x:c r="A96" s="225"/>
      <x:c r="B96" s="224"/>
      <x:c r="C96" s="224"/>
      <x:c r="D96" s="224"/>
      <x:c r="E96" s="224"/>
      <x:c r="F96" s="228"/>
      <x:c r="G96" s="229" t="str">
        <x:f>IF(A96="","",IF(E96="CNY",1,IF(E96="JPY",'说明与目标'!$B$10,"")))</x:f>
      </x:c>
      <x:c r="H96" s="229" t="str">
        <x:f>IF(A96="","",F96*G96)</x:f>
      </x:c>
      <x:c r="I96" s="224"/>
      <x:c r="J96" s="224"/>
      <x:c r="K96" s="226"/>
      <x:c r="L96" s="226"/>
    </x:row>
    <x:row r="97">
      <x:c r="A97" s="225"/>
      <x:c r="B97" s="224"/>
      <x:c r="C97" s="224"/>
      <x:c r="D97" s="224"/>
      <x:c r="E97" s="224"/>
      <x:c r="F97" s="228"/>
      <x:c r="G97" s="229" t="str">
        <x:f>IF(A97="","",IF(E97="CNY",1,IF(E97="JPY",'说明与目标'!$B$10,"")))</x:f>
      </x:c>
      <x:c r="H97" s="229" t="str">
        <x:f>IF(A97="","",F97*G97)</x:f>
      </x:c>
      <x:c r="I97" s="224"/>
      <x:c r="J97" s="224"/>
      <x:c r="K97" s="226"/>
      <x:c r="L97" s="226"/>
    </x:row>
    <x:row r="98">
      <x:c r="A98" s="225"/>
      <x:c r="B98" s="224"/>
      <x:c r="C98" s="224"/>
      <x:c r="D98" s="224"/>
      <x:c r="E98" s="224"/>
      <x:c r="F98" s="228"/>
      <x:c r="G98" s="229" t="str">
        <x:f>IF(A98="","",IF(E98="CNY",1,IF(E98="JPY",'说明与目标'!$B$10,"")))</x:f>
      </x:c>
      <x:c r="H98" s="229" t="str">
        <x:f>IF(A98="","",F98*G98)</x:f>
      </x:c>
      <x:c r="I98" s="224"/>
      <x:c r="J98" s="224"/>
      <x:c r="K98" s="226"/>
      <x:c r="L98" s="226"/>
    </x:row>
    <x:row r="99">
      <x:c r="A99" s="225"/>
      <x:c r="B99" s="224"/>
      <x:c r="C99" s="224"/>
      <x:c r="D99" s="224"/>
      <x:c r="E99" s="224"/>
      <x:c r="F99" s="228"/>
      <x:c r="G99" s="229" t="str">
        <x:f>IF(A99="","",IF(E99="CNY",1,IF(E99="JPY",'说明与目标'!$B$10,"")))</x:f>
      </x:c>
      <x:c r="H99" s="229" t="str">
        <x:f>IF(A99="","",F99*G99)</x:f>
      </x:c>
      <x:c r="I99" s="224"/>
      <x:c r="J99" s="224"/>
      <x:c r="K99" s="226"/>
      <x:c r="L99" s="226"/>
    </x:row>
    <x:row r="100">
      <x:c r="A100" s="225"/>
      <x:c r="B100" s="224"/>
      <x:c r="C100" s="224"/>
      <x:c r="D100" s="224"/>
      <x:c r="E100" s="224"/>
      <x:c r="F100" s="228"/>
      <x:c r="G100" s="229" t="str">
        <x:f>IF(A100="","",IF(E100="CNY",1,IF(E100="JPY",'说明与目标'!$B$10,"")))</x:f>
      </x:c>
      <x:c r="H100" s="229" t="str">
        <x:f>IF(A100="","",F100*G100)</x:f>
      </x:c>
      <x:c r="I100" s="224"/>
      <x:c r="J100" s="224"/>
      <x:c r="K100" s="226"/>
      <x:c r="L100" s="226"/>
    </x:row>
    <x:row r="101">
      <x:c r="A101" s="225"/>
      <x:c r="B101" s="224"/>
      <x:c r="C101" s="224"/>
      <x:c r="D101" s="224"/>
      <x:c r="E101" s="224"/>
      <x:c r="F101" s="228"/>
      <x:c r="G101" s="229" t="str">
        <x:f>IF(A101="","",IF(E101="CNY",1,IF(E101="JPY",'说明与目标'!$B$10,"")))</x:f>
      </x:c>
      <x:c r="H101" s="229" t="str">
        <x:f>IF(A101="","",F101*G101)</x:f>
      </x:c>
      <x:c r="I101" s="224"/>
      <x:c r="J101" s="224"/>
      <x:c r="K101" s="226"/>
      <x:c r="L101" s="226"/>
    </x:row>
    <x:row r="102">
      <x:c r="A102" s="225"/>
      <x:c r="B102" s="224"/>
      <x:c r="C102" s="224"/>
      <x:c r="D102" s="224"/>
      <x:c r="E102" s="224"/>
      <x:c r="F102" s="228"/>
      <x:c r="G102" s="229" t="str">
        <x:f>IF(A102="","",IF(E102="CNY",1,IF(E102="JPY",'说明与目标'!$B$10,"")))</x:f>
      </x:c>
      <x:c r="H102" s="229" t="str">
        <x:f>IF(A102="","",F102*G102)</x:f>
      </x:c>
      <x:c r="I102" s="224"/>
      <x:c r="J102" s="224"/>
      <x:c r="K102" s="226"/>
      <x:c r="L102" s="226"/>
    </x:row>
    <x:row r="103">
      <x:c r="A103" s="225"/>
      <x:c r="B103" s="224"/>
      <x:c r="C103" s="224"/>
      <x:c r="D103" s="224"/>
      <x:c r="E103" s="224"/>
      <x:c r="F103" s="228"/>
      <x:c r="G103" s="229" t="str">
        <x:f>IF(A103="","",IF(E103="CNY",1,IF(E103="JPY",'说明与目标'!$B$10,"")))</x:f>
      </x:c>
      <x:c r="H103" s="229" t="str">
        <x:f>IF(A103="","",F103*G103)</x:f>
      </x:c>
      <x:c r="I103" s="224"/>
      <x:c r="J103" s="224"/>
      <x:c r="K103" s="226"/>
      <x:c r="L103" s="226"/>
    </x:row>
    <x:row r="104">
      <x:c r="A104" s="225"/>
      <x:c r="B104" s="224"/>
      <x:c r="C104" s="224"/>
      <x:c r="D104" s="224"/>
      <x:c r="E104" s="224"/>
      <x:c r="F104" s="228"/>
      <x:c r="G104" s="229" t="str">
        <x:f>IF(A104="","",IF(E104="CNY",1,IF(E104="JPY",'说明与目标'!$B$10,"")))</x:f>
      </x:c>
      <x:c r="H104" s="229" t="str">
        <x:f>IF(A104="","",F104*G104)</x:f>
      </x:c>
      <x:c r="I104" s="224"/>
      <x:c r="J104" s="224"/>
      <x:c r="K104" s="226"/>
      <x:c r="L104" s="226"/>
    </x:row>
  </x:sheetData>
  <x:mergeCells>
    <x:mergeCell ref="A1:L1"/>
    <x:mergeCell ref="A2:L2"/>
  </x:mergeCells>
  <x:conditionalFormatting sqref="J5:J104">
    <x:cfRule type="containsText" dxfId="8" priority="1" operator="containsText" text="已到账"/>
    <x:cfRule type="containsText" dxfId="9" priority="2" operator="containsText" text="待收/待付"/>
  </x:conditionalFormatting>
  <x:dataValidations count="3">
    <x:dataValidation type="list" sqref="B5:B104">
      <x:formula1>"收入,直接成本,固定成本,税费,退款"</x:formula1>
    </x:dataValidation>
    <x:dataValidation type="list" sqref="E5:E104">
      <x:formula1>"JPY,CNY"</x:formula1>
    </x:dataValidation>
    <x:dataValidation type="list" sqref="J5:J104">
      <x:formula1>"待收/待付,已到账,已支付,取消"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f24cf6f39643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3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  <x:col min="9" max="9" width="16" hidden="0" customWidth="1"/>
    <x:col min="10" max="10" width="17" hidden="0" customWidth="1"/>
    <x:col min="11" max="11" width="16" hidden="0" customWidth="1"/>
    <x:col min="12" max="12" width="16" hidden="0" customWidth="1"/>
    <x:col min="13" max="13" width="3" hidden="0" customWidth="1"/>
    <x:col min="14" max="14" width="0.10000000149011612" hidden="0" customWidth="1"/>
    <x:col min="15" max="15" width="0.10000000149011612" hidden="0" customWidth="1"/>
    <x:col min="16" max="16" width="0.10000000149011612" hidden="0" customWidth="1"/>
  </x:cols>
  <x:sheetData>
    <x:row r="1" ht="34" customHeight="1">
      <x:c r="A1" s="4" t="str">
        <x:v>周度看板｜目标、现金、销售与验证节奏</x:v>
      </x:c>
      <x:c r="B1" s="4" t="str">
        <x:v>周度看板｜目标、现金、销售与验证节奏</x:v>
      </x:c>
      <x:c r="C1" s="4" t="str">
        <x:v>周度看板｜目标、现金、销售与验证节奏</x:v>
      </x:c>
      <x:c r="D1" s="4" t="str">
        <x:v>周度看板｜目标、现金、销售与验证节奏</x:v>
      </x:c>
      <x:c r="E1" s="4" t="str">
        <x:v>周度看板｜目标、现金、销售与验证节奏</x:v>
      </x:c>
      <x:c r="F1" s="4" t="str">
        <x:v>周度看板｜目标、现金、销售与验证节奏</x:v>
      </x:c>
      <x:c r="G1" s="4" t="str">
        <x:v>周度看板｜目标、现金、销售与验证节奏</x:v>
      </x:c>
      <x:c r="H1" s="4" t="str">
        <x:v>周度看板｜目标、现金、销售与验证节奏</x:v>
      </x:c>
      <x:c r="I1" s="4" t="str">
        <x:v>周度看板｜目标、现金、销售与验证节奏</x:v>
      </x:c>
      <x:c r="J1" s="4" t="str">
        <x:v>周度看板｜目标、现金、销售与验证节奏</x:v>
      </x:c>
      <x:c r="K1" s="4" t="str">
        <x:v>周度看板｜目标、现金、销售与验证节奏</x:v>
      </x:c>
      <x:c r="L1" s="4" t="str">
        <x:v>周度看板｜目标、现金、销售与验证节奏</x:v>
      </x:c>
      <x:c r="M1" s="4" t="str">
        <x:v>周度看板｜目标、现金、销售与验证节奏</x:v>
      </x:c>
      <x:c r="N1" s="174"/>
      <x:c r="O1" s="174"/>
      <x:c r="P1" s="174"/>
    </x:row>
    <x:row r="2">
      <x:c r="A2" s="223" t="str">
        <x:v>每周固定同一天更新。不要混用“已发报价、已签约、已开票、已到账、已确认收入”。</x:v>
      </x:c>
      <x:c r="B2" s="223" t="str">
        <x:v>每周固定同一天更新。不要混用“已发报价、已签约、已开票、已到账、已确认收入”。</x:v>
      </x:c>
      <x:c r="C2" s="223" t="str">
        <x:v>每周固定同一天更新。不要混用“已发报价、已签约、已开票、已到账、已确认收入”。</x:v>
      </x:c>
      <x:c r="D2" s="223" t="str">
        <x:v>每周固定同一天更新。不要混用“已发报价、已签约、已开票、已到账、已确认收入”。</x:v>
      </x:c>
      <x:c r="E2" s="223" t="str">
        <x:v>每周固定同一天更新。不要混用“已发报价、已签约、已开票、已到账、已确认收入”。</x:v>
      </x:c>
      <x:c r="F2" s="223" t="str">
        <x:v>每周固定同一天更新。不要混用“已发报价、已签约、已开票、已到账、已确认收入”。</x:v>
      </x:c>
      <x:c r="G2" s="223" t="str">
        <x:v>每周固定同一天更新。不要混用“已发报价、已签约、已开票、已到账、已确认收入”。</x:v>
      </x:c>
      <x:c r="H2" s="223" t="str">
        <x:v>每周固定同一天更新。不要混用“已发报价、已签约、已开票、已到账、已确认收入”。</x:v>
      </x:c>
      <x:c r="I2" s="223" t="str">
        <x:v>每周固定同一天更新。不要混用“已发报价、已签约、已开票、已到账、已确认收入”。</x:v>
      </x:c>
      <x:c r="J2" s="223" t="str">
        <x:v>每周固定同一天更新。不要混用“已发报价、已签约、已开票、已到账、已确认收入”。</x:v>
      </x:c>
      <x:c r="K2" s="223" t="str">
        <x:v>每周固定同一天更新。不要混用“已发报价、已签约、已开票、已到账、已确认收入”。</x:v>
      </x:c>
      <x:c r="L2" s="223" t="str">
        <x:v>每周固定同一天更新。不要混用“已发报价、已签约、已开票、已到账、已确认收入”。</x:v>
      </x:c>
      <x:c r="M2" s="223" t="str">
        <x:v>每周固定同一天更新。不要混用“已发报价、已签约、已开票、已到账、已确认收入”。</x:v>
      </x:c>
      <x:c r="N2" s="174"/>
      <x:c r="O2" s="174"/>
      <x:c r="P2" s="174"/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  <x:c r="M3" s="174"/>
      <x:c r="N3" s="174"/>
      <x:c r="O3" s="174"/>
      <x:c r="P3" s="174"/>
    </x:row>
    <x:row r="4">
      <x:c r="A4" s="236" t="str">
        <x:v>已回款</x:v>
      </x:c>
      <x:c r="B4" s="236" t="str">
        <x:v>已回款</x:v>
      </x:c>
      <x:c r="C4" s="236" t="str">
        <x:v>已支付成本</x:v>
      </x:c>
      <x:c r="D4" s="236" t="str">
        <x:v>已支付成本</x:v>
      </x:c>
      <x:c r="E4" s="236" t="str">
        <x:v>目标口径利润</x:v>
      </x:c>
      <x:c r="F4" s="236" t="str">
        <x:v>目标口径利润</x:v>
      </x:c>
      <x:c r="G4" s="236" t="str">
        <x:v>剩余缺口</x:v>
      </x:c>
      <x:c r="H4" s="236" t="str">
        <x:v>剩余缺口</x:v>
      </x:c>
      <x:c r="I4" s="236" t="str">
        <x:v>完成率</x:v>
      </x:c>
      <x:c r="J4" s="236" t="str">
        <x:v>完成率</x:v>
      </x:c>
      <x:c r="K4" s="236" t="str">
        <x:v>剩余周数</x:v>
      </x:c>
      <x:c r="L4" s="236" t="str">
        <x:v>剩余周数</x:v>
      </x:c>
      <x:c r="M4" s="174"/>
      <x:c r="N4" s="174"/>
      <x:c r="O4" s="174"/>
      <x:c r="P4" s="174"/>
    </x:row>
    <x:row r="5">
      <x:c r="A5" s="151" t="n">
        <x:f>'说明与目标'!$F$5</x:f>
        <x:v>0</x:v>
      </x:c>
      <x:c r="B5" s="152"/>
      <x:c r="C5" s="151" t="n">
        <x:f>'说明与目标'!$F$6</x:f>
        <x:v>0</x:v>
      </x:c>
      <x:c r="D5" s="152"/>
      <x:c r="E5" s="151" t="n">
        <x:f>'说明与目标'!$F$7</x:f>
        <x:v>0</x:v>
      </x:c>
      <x:c r="F5" s="152"/>
      <x:c r="G5" s="151" t="n">
        <x:f>'说明与目标'!$F$8</x:f>
        <x:v>100000</x:v>
      </x:c>
      <x:c r="H5" s="152"/>
      <x:c r="I5" s="155" t="n">
        <x:f>'说明与目标'!$F$9</x:f>
        <x:v>0</x:v>
      </x:c>
      <x:c r="J5" s="156"/>
      <x:c r="K5" s="159" t="n">
        <x:f>'说明与目标'!$F$12</x:f>
        <x:v>19</x:v>
      </x:c>
      <x:c r="L5" s="160"/>
      <x:c r="M5" s="174"/>
      <x:c r="N5" s="174"/>
      <x:c r="O5" s="174"/>
      <x:c r="P5" s="174"/>
    </x:row>
    <x:row r="6">
      <x:c r="A6" s="153"/>
      <x:c r="B6" s="154"/>
      <x:c r="C6" s="153"/>
      <x:c r="D6" s="154"/>
      <x:c r="E6" s="153"/>
      <x:c r="F6" s="154"/>
      <x:c r="G6" s="153"/>
      <x:c r="H6" s="154"/>
      <x:c r="I6" s="157"/>
      <x:c r="J6" s="158"/>
      <x:c r="K6" s="161"/>
      <x:c r="L6" s="162"/>
      <x:c r="M6" s="174"/>
      <x:c r="N6" s="174"/>
      <x:c r="O6" s="174"/>
      <x:c r="P6" s="174"/>
    </x:row>
    <x:row r="7">
      <x:c r="A7" s="174"/>
      <x:c r="B7" s="174"/>
      <x:c r="C7" s="174"/>
      <x:c r="D7" s="174"/>
      <x:c r="E7" s="174"/>
      <x:c r="F7" s="174"/>
      <x:c r="G7" s="174"/>
      <x:c r="H7" s="174"/>
      <x:c r="I7" s="174"/>
      <x:c r="J7" s="174"/>
      <x:c r="K7" s="174"/>
      <x:c r="L7" s="174"/>
      <x:c r="M7" s="174"/>
      <x:c r="N7" s="174"/>
      <x:c r="O7" s="174"/>
      <x:c r="P7" s="174"/>
    </x:row>
    <x:row r="8" ht="30" customHeight="1">
      <x:c r="A8" s="77" t="str">
        <x:v>销售漏斗</x:v>
      </x:c>
      <x:c r="B8" s="78" t="str">
        <x:v>当前数量</x:v>
      </x:c>
      <x:c r="C8" s="79" t="str">
        <x:v>相邻转化率</x:v>
      </x:c>
      <x:c r="D8" s="174"/>
      <x:c r="E8" s="174"/>
      <x:c r="F8" s="174"/>
      <x:c r="G8" s="174"/>
      <x:c r="H8" s="174"/>
      <x:c r="I8" s="174"/>
      <x:c r="J8" s="174"/>
      <x:c r="K8" s="174"/>
      <x:c r="L8" s="174"/>
      <x:c r="M8" s="174"/>
      <x:c r="N8" s="174"/>
      <x:c r="O8" s="174"/>
      <x:c r="P8" s="174"/>
    </x:row>
    <x:row r="9">
      <x:c r="A9" s="237" t="str">
        <x:v>原始线索</x:v>
      </x:c>
      <x:c r="B9" s="238" t="n">
        <x:f>COUNTIF('线索'!$A$5:$A$54,"&lt;&gt;")</x:f>
        <x:v>0</x:v>
      </x:c>
      <x:c r="C9" s="239" t="str"/>
      <x:c r="D9" s="174"/>
      <x:c r="E9" s="174"/>
      <x:c r="F9" s="174"/>
      <x:c r="G9" s="174"/>
      <x:c r="H9" s="174"/>
      <x:c r="I9" s="174"/>
      <x:c r="J9" s="174"/>
      <x:c r="K9" s="174"/>
      <x:c r="L9" s="174"/>
      <x:c r="M9" s="174"/>
      <x:c r="N9" s="174"/>
      <x:c r="O9" s="174"/>
      <x:c r="P9" s="174"/>
    </x:row>
    <x:row r="10">
      <x:c r="A10" s="240" t="str">
        <x:v>已筛选/合格</x:v>
      </x:c>
      <x:c r="B10" s="241" t="n">
        <x:f>COUNTIFS('线索'!$A$5:$A$54,"&lt;&gt;",'线索'!$L$5:$L$54,"&lt;&gt;新线索",'线索'!$L$5:$L$54,"&lt;&gt;未成交",'线索'!$L$5:$L$54,"&lt;&gt;暂停",'线索'!$L$5:$L$54,"&lt;&gt;")</x:f>
        <x:v>0</x:v>
      </x:c>
      <x:c r="C10" s="242" t="str">
        <x:f>IFERROR(B10/B9,"")</x:f>
      </x:c>
      <x:c r="D10" s="174"/>
      <x:c r="E10" s="174"/>
      <x:c r="F10" s="174"/>
      <x:c r="G10" s="174"/>
      <x:c r="H10" s="174"/>
      <x:c r="I10" s="174"/>
      <x:c r="J10" s="174"/>
      <x:c r="K10" s="174"/>
      <x:c r="L10" s="174"/>
      <x:c r="M10" s="174"/>
      <x:c r="N10" s="174"/>
      <x:c r="O10" s="174"/>
      <x:c r="P10" s="174"/>
    </x:row>
    <x:row r="11">
      <x:c r="A11" s="240" t="str">
        <x:v>有效沟通</x:v>
      </x:c>
      <x:c r="B11" s="241" t="n">
        <x:f>COUNTIF('线索'!$L$5:$L$54,"有效沟通")+COUNTIF('线索'!$L$5:$L$54,"诊断")+COUNTIF('线索'!$L$5:$L$54,"报价")+COUNTIF('线索'!$L$5:$L$54,"订金到账")</x:f>
        <x:v>0</x:v>
      </x:c>
      <x:c r="C11" s="242" t="str">
        <x:f>IFERROR(B11/B10,"")</x:f>
      </x:c>
      <x:c r="D11" s="174"/>
      <x:c r="E11" s="174"/>
      <x:c r="F11" s="174"/>
      <x:c r="G11" s="174"/>
      <x:c r="H11" s="174"/>
      <x:c r="I11" s="174"/>
      <x:c r="J11" s="174"/>
      <x:c r="K11" s="174"/>
      <x:c r="L11" s="174"/>
      <x:c r="M11" s="174"/>
      <x:c r="N11" s="174"/>
      <x:c r="O11" s="174"/>
      <x:c r="P11" s="174"/>
    </x:row>
    <x:row r="12">
      <x:c r="A12" s="240" t="str">
        <x:v>诊断</x:v>
      </x:c>
      <x:c r="B12" s="241" t="n">
        <x:f>COUNTIF('线索'!$L$5:$L$54,"诊断")+COUNTIF('线索'!$L$5:$L$54,"报价")+COUNTIF('线索'!$L$5:$L$54,"订金到账")</x:f>
        <x:v>0</x:v>
      </x:c>
      <x:c r="C12" s="242" t="str">
        <x:f>IFERROR(B12/B11,"")</x:f>
      </x:c>
      <x:c r="D12" s="174"/>
      <x:c r="E12" s="174"/>
      <x:c r="F12" s="174"/>
      <x:c r="G12" s="174"/>
      <x:c r="H12" s="174"/>
      <x:c r="I12" s="174"/>
      <x:c r="J12" s="174"/>
      <x:c r="K12" s="174"/>
      <x:c r="L12" s="174"/>
      <x:c r="M12" s="174"/>
      <x:c r="N12" s="174"/>
      <x:c r="O12" s="174"/>
      <x:c r="P12" s="174"/>
    </x:row>
    <x:row r="13">
      <x:c r="A13" s="240" t="str">
        <x:v>已发报价</x:v>
      </x:c>
      <x:c r="B13" s="241" t="n">
        <x:f>COUNTIF('报价'!$S$5:$S$54,"已发出")+COUNTIF('报价'!$S$5:$S$54,"已收订金")</x:f>
        <x:v>0</x:v>
      </x:c>
      <x:c r="C13" s="242" t="str">
        <x:f>IFERROR(B13/B12,"")</x:f>
      </x:c>
      <x:c r="D13" s="174"/>
      <x:c r="E13" s="174"/>
      <x:c r="F13" s="174"/>
      <x:c r="G13" s="174"/>
      <x:c r="H13" s="174"/>
      <x:c r="I13" s="174"/>
      <x:c r="J13" s="174"/>
      <x:c r="K13" s="174"/>
      <x:c r="L13" s="174"/>
      <x:c r="M13" s="174"/>
      <x:c r="N13" s="174"/>
      <x:c r="O13" s="174"/>
      <x:c r="P13" s="174"/>
    </x:row>
    <x:row r="14">
      <x:c r="A14" s="240" t="str">
        <x:v>已收订金</x:v>
      </x:c>
      <x:c r="B14" s="241" t="n">
        <x:f>COUNTIF('报价'!$S$5:$S$54,"已收订金")</x:f>
        <x:v>0</x:v>
      </x:c>
      <x:c r="C14" s="242" t="str">
        <x:f>IFERROR(B14/B13,"")</x:f>
      </x:c>
      <x:c r="D14" s="174"/>
      <x:c r="E14" s="174"/>
      <x:c r="F14" s="174"/>
      <x:c r="G14" s="174"/>
      <x:c r="H14" s="174"/>
      <x:c r="I14" s="174"/>
      <x:c r="J14" s="174"/>
      <x:c r="K14" s="174"/>
      <x:c r="L14" s="174"/>
      <x:c r="M14" s="174"/>
      <x:c r="N14" s="174"/>
      <x:c r="O14" s="174"/>
      <x:c r="P14" s="174"/>
    </x:row>
    <x:row r="15">
      <x:c r="A15" s="240" t="str">
        <x:v>已回款客户</x:v>
      </x:c>
      <x:c r="B15" s="241" t="n">
        <x:f>COUNTIF('项目与利润'!$H$5:$H$54,"&gt;0")</x:f>
        <x:v>0</x:v>
      </x:c>
      <x:c r="C15" s="242" t="str">
        <x:f>IFERROR(B15/B14,"")</x:f>
      </x:c>
      <x:c r="D15" s="174"/>
      <x:c r="E15" s="174"/>
      <x:c r="F15" s="174"/>
      <x:c r="G15" s="174"/>
      <x:c r="H15" s="174"/>
      <x:c r="I15" s="174"/>
      <x:c r="J15" s="174"/>
      <x:c r="K15" s="174"/>
      <x:c r="L15" s="174"/>
      <x:c r="M15" s="174"/>
      <x:c r="N15" s="174"/>
      <x:c r="O15" s="174"/>
      <x:c r="P15" s="174"/>
    </x:row>
    <x:row r="16">
      <x:c r="A16" s="174"/>
      <x:c r="B16" s="174"/>
      <x:c r="C16" s="174"/>
      <x:c r="D16" s="174"/>
      <x:c r="E16" s="174"/>
      <x:c r="F16" s="174"/>
      <x:c r="G16" s="174"/>
      <x:c r="H16" s="174"/>
      <x:c r="I16" s="174"/>
      <x:c r="J16" s="174"/>
      <x:c r="K16" s="174"/>
      <x:c r="L16" s="174"/>
      <x:c r="M16" s="174"/>
      <x:c r="N16" s="174"/>
      <x:c r="O16" s="174"/>
      <x:c r="P16" s="174"/>
    </x:row>
    <x:row r="17" ht="30" customHeight="1">
      <x:c r="A17" s="77" t="str">
        <x:v>周开始</x:v>
      </x:c>
      <x:c r="B17" s="78" t="str">
        <x:v>周结束</x:v>
      </x:c>
      <x:c r="C17" s="78" t="str">
        <x:v>新增线索</x:v>
      </x:c>
      <x:c r="D17" s="78" t="str">
        <x:v>合格线索</x:v>
      </x:c>
      <x:c r="E17" s="78" t="str">
        <x:v>报价数</x:v>
      </x:c>
      <x:c r="F17" s="78" t="str">
        <x:v>订金数</x:v>
      </x:c>
      <x:c r="G17" s="78" t="str">
        <x:v>现金收入</x:v>
      </x:c>
      <x:c r="H17" s="78" t="str">
        <x:v>现金成本</x:v>
      </x:c>
      <x:c r="I17" s="78" t="str">
        <x:v>周现金利润</x:v>
      </x:c>
      <x:c r="J17" s="78" t="str">
        <x:v>累计现金利润</x:v>
      </x:c>
      <x:c r="K17" s="78" t="str">
        <x:v>目标进度</x:v>
      </x:c>
      <x:c r="L17" s="79" t="str">
        <x:v>进度差额</x:v>
      </x:c>
      <x:c r="M17" s="174"/>
      <x:c r="N17" s="174"/>
      <x:c r="O17" s="174"/>
      <x:c r="P17" s="174"/>
    </x:row>
    <x:row r="18">
      <x:c r="A18" s="200" t="n">
        <x:f>'说明与目标'!$B$13</x:f>
        <x:v>46256</x:v>
      </x:c>
      <x:c r="B18" s="200" t="n">
        <x:f>MIN(A18+6,'说明与目标'!$B$7)</x:f>
        <x:v>46262</x:v>
      </x:c>
      <x:c r="C18" s="243" t="n">
        <x:f>IF(A18="","",COUNTIFS('线索'!$B$5:$B$54,"&gt;="&amp;A18,'线索'!$B$5:$B$54,"&lt;="&amp;B18))</x:f>
        <x:v>0</x:v>
      </x:c>
      <x:c r="D18" s="243" t="n">
        <x:f>IF(A18="","",COUNTIFS('线索'!$B$5:$B$54,"&gt;="&amp;A18,'线索'!$B$5:$B$54,"&lt;="&amp;B18,'线索'!$L$5:$L$54,"&lt;&gt;新线索",'线索'!$L$5:$L$54,"&lt;&gt;未成交",'线索'!$L$5:$L$54,"&lt;&gt;暂停",'线索'!$L$5:$L$54,"&lt;&gt;"))</x:f>
        <x:v>0</x:v>
      </x:c>
      <x:c r="E18" s="243" t="n">
        <x:f>IF(A18="","",COUNTIFS('报价'!$C$5:$C$54,"&gt;="&amp;A18,'报价'!$C$5:$C$54,"&lt;="&amp;B18))</x:f>
        <x:v>0</x:v>
      </x:c>
      <x:c r="F18" s="243" t="n">
        <x:f>IF(A18="","",COUNTIFS('报价'!$Q$5:$Q$54,"&gt;="&amp;A18,'报价'!$Q$5:$Q$54,"&lt;="&amp;B18))</x:f>
        <x:v>0</x:v>
      </x:c>
      <x:c r="G18" s="234" t="n">
        <x:f>IF(A18="","",SUMIFS('现金流水'!$H$5:$H$104,'现金流水'!$A$5:$A$104,"&gt;="&amp;A18,'现金流水'!$A$5:$A$104,"&lt;="&amp;B18,'现金流水'!$B$5:$B$104,"收入",'现金流水'!$J$5:$J$104,"已到账"))</x:f>
        <x:v>0</x:v>
      </x:c>
      <x:c r="H18" s="234" t="n">
        <x:f>IF(A18="","",SUMIFS('现金流水'!$H$5:$H$104,'现金流水'!$A$5:$A$104,"&gt;="&amp;A18,'现金流水'!$A$5:$A$104,"&lt;="&amp;B18,'现金流水'!$B$5:$B$104,"直接成本",'现金流水'!$J$5:$J$104,"已支付")+SUMIFS('现金流水'!$H$5:$H$104,'现金流水'!$A$5:$A$104,"&gt;="&amp;A18,'现金流水'!$A$5:$A$104,"&lt;="&amp;B18,'现金流水'!$B$5:$B$104,"固定成本",'现金流水'!$J$5:$J$104,"已支付")+SUMIFS('现金流水'!$H$5:$H$104,'现金流水'!$A$5:$A$104,"&gt;="&amp;A18,'现金流水'!$A$5:$A$104,"&lt;="&amp;B18,'现金流水'!$B$5:$B$104,"退款",'现金流水'!$J$5:$J$104,"已支付"))</x:f>
        <x:v>0</x:v>
      </x:c>
      <x:c r="I18" s="234" t="n">
        <x:f>IF(A18="","",G18-H18)</x:f>
        <x:v>0</x:v>
      </x:c>
      <x:c r="J18" s="234" t="n">
        <x:f>IF(A18="","",'说明与目标'!$B$14+SUM($I$18:I18))</x:f>
        <x:v>0</x:v>
      </x:c>
      <x:c r="K18" s="234" t="n">
        <x:f>IF(A18="","",ROUND('说明与目标'!$B$8*MIN(1,MAX(0,(B18-'说明与目标'!$B$13)/('说明与目标'!$B$7-'说明与目标'!$B$13))),0))</x:f>
        <x:v>4580</x:v>
      </x:c>
      <x:c r="L18" s="234" t="n">
        <x:f>IF(A18="","",ROUND(J18-K18,0))</x:f>
        <x:v>-4580</x:v>
      </x:c>
      <x:c r="M18" s="174"/>
      <x:c r="N18" s="174" t="str">
        <x:f>TEXT(A18,"yyyy-mm-dd")</x:f>
        <x:v>2026-08-22</x:v>
      </x:c>
      <x:c r="O18" s="174" t="n">
        <x:f>J18</x:f>
        <x:v>0</x:v>
      </x:c>
      <x:c r="P18" s="174" t="n">
        <x:f>K18</x:f>
        <x:v>4580</x:v>
      </x:c>
    </x:row>
    <x:row r="19">
      <x:c r="A19" s="200" t="n">
        <x:f>IF(A18="","",IF(A18+7&lt;='说明与目标'!$B$7,A18+7,""))</x:f>
        <x:v>46263</x:v>
      </x:c>
      <x:c r="B19" s="200" t="n">
        <x:f>IF(A19="","",MIN(A19+6,'说明与目标'!$B$7))</x:f>
        <x:v>46269</x:v>
      </x:c>
      <x:c r="C19" s="243" t="n">
        <x:f>IF(A19="","",COUNTIFS('线索'!$B$5:$B$54,"&gt;="&amp;A19,'线索'!$B$5:$B$54,"&lt;="&amp;B19))</x:f>
        <x:v>0</x:v>
      </x:c>
      <x:c r="D19" s="243" t="n">
        <x:f>IF(A19="","",COUNTIFS('线索'!$B$5:$B$54,"&gt;="&amp;A19,'线索'!$B$5:$B$54,"&lt;="&amp;B19,'线索'!$L$5:$L$54,"&lt;&gt;新线索",'线索'!$L$5:$L$54,"&lt;&gt;未成交",'线索'!$L$5:$L$54,"&lt;&gt;暂停",'线索'!$L$5:$L$54,"&lt;&gt;"))</x:f>
        <x:v>0</x:v>
      </x:c>
      <x:c r="E19" s="243" t="n">
        <x:f>IF(A19="","",COUNTIFS('报价'!$C$5:$C$54,"&gt;="&amp;A19,'报价'!$C$5:$C$54,"&lt;="&amp;B19))</x:f>
        <x:v>0</x:v>
      </x:c>
      <x:c r="F19" s="243" t="n">
        <x:f>IF(A19="","",COUNTIFS('报价'!$Q$5:$Q$54,"&gt;="&amp;A19,'报价'!$Q$5:$Q$54,"&lt;="&amp;B19))</x:f>
        <x:v>0</x:v>
      </x:c>
      <x:c r="G19" s="234" t="n">
        <x:f>IF(A19="","",SUMIFS('现金流水'!$H$5:$H$104,'现金流水'!$A$5:$A$104,"&gt;="&amp;A19,'现金流水'!$A$5:$A$104,"&lt;="&amp;B19,'现金流水'!$B$5:$B$104,"收入",'现金流水'!$J$5:$J$104,"已到账"))</x:f>
        <x:v>0</x:v>
      </x:c>
      <x:c r="H19" s="234" t="n">
        <x:f>IF(A19="","",SUMIFS('现金流水'!$H$5:$H$104,'现金流水'!$A$5:$A$104,"&gt;="&amp;A19,'现金流水'!$A$5:$A$104,"&lt;="&amp;B19,'现金流水'!$B$5:$B$104,"直接成本",'现金流水'!$J$5:$J$104,"已支付")+SUMIFS('现金流水'!$H$5:$H$104,'现金流水'!$A$5:$A$104,"&gt;="&amp;A19,'现金流水'!$A$5:$A$104,"&lt;="&amp;B19,'现金流水'!$B$5:$B$104,"固定成本",'现金流水'!$J$5:$J$104,"已支付")+SUMIFS('现金流水'!$H$5:$H$104,'现金流水'!$A$5:$A$104,"&gt;="&amp;A19,'现金流水'!$A$5:$A$104,"&lt;="&amp;B19,'现金流水'!$B$5:$B$104,"退款",'现金流水'!$J$5:$J$104,"已支付"))</x:f>
        <x:v>0</x:v>
      </x:c>
      <x:c r="I19" s="234" t="n">
        <x:f>IF(A19="","",G19-H19)</x:f>
        <x:v>0</x:v>
      </x:c>
      <x:c r="J19" s="234" t="n">
        <x:f>IF(A19="","",'说明与目标'!$B$14+SUM($I$18:I19))</x:f>
        <x:v>0</x:v>
      </x:c>
      <x:c r="K19" s="234" t="n">
        <x:f>IF(A19="","",ROUND('说明与目标'!$B$8*MIN(1,MAX(0,(B19-'说明与目标'!$B$13)/('说明与目标'!$B$7-'说明与目标'!$B$13))),0))</x:f>
        <x:v>9924</x:v>
      </x:c>
      <x:c r="L19" s="234" t="n">
        <x:f>IF(A19="","",ROUND(J19-K19,0))</x:f>
        <x:v>-9924</x:v>
      </x:c>
      <x:c r="M19" s="174"/>
      <x:c r="N19" s="174" t="str">
        <x:f>TEXT(A19,"yyyy-mm-dd")</x:f>
        <x:v>2026-08-29</x:v>
      </x:c>
      <x:c r="O19" s="174" t="n">
        <x:f>J19</x:f>
        <x:v>0</x:v>
      </x:c>
      <x:c r="P19" s="174" t="n">
        <x:f>K19</x:f>
        <x:v>9924</x:v>
      </x:c>
    </x:row>
    <x:row r="20">
      <x:c r="A20" s="200" t="n">
        <x:f>IF(A19="","",IF(A19+7&lt;='说明与目标'!$B$7,A19+7,""))</x:f>
        <x:v>46270</x:v>
      </x:c>
      <x:c r="B20" s="200" t="n">
        <x:f>IF(A20="","",MIN(A20+6,'说明与目标'!$B$7))</x:f>
        <x:v>46276</x:v>
      </x:c>
      <x:c r="C20" s="243" t="n">
        <x:f>IF(A20="","",COUNTIFS('线索'!$B$5:$B$54,"&gt;="&amp;A20,'线索'!$B$5:$B$54,"&lt;="&amp;B20))</x:f>
        <x:v>0</x:v>
      </x:c>
      <x:c r="D20" s="243" t="n">
        <x:f>IF(A20="","",COUNTIFS('线索'!$B$5:$B$54,"&gt;="&amp;A20,'线索'!$B$5:$B$54,"&lt;="&amp;B20,'线索'!$L$5:$L$54,"&lt;&gt;新线索",'线索'!$L$5:$L$54,"&lt;&gt;未成交",'线索'!$L$5:$L$54,"&lt;&gt;暂停",'线索'!$L$5:$L$54,"&lt;&gt;"))</x:f>
        <x:v>0</x:v>
      </x:c>
      <x:c r="E20" s="243" t="n">
        <x:f>IF(A20="","",COUNTIFS('报价'!$C$5:$C$54,"&gt;="&amp;A20,'报价'!$C$5:$C$54,"&lt;="&amp;B20))</x:f>
        <x:v>0</x:v>
      </x:c>
      <x:c r="F20" s="243" t="n">
        <x:f>IF(A20="","",COUNTIFS('报价'!$Q$5:$Q$54,"&gt;="&amp;A20,'报价'!$Q$5:$Q$54,"&lt;="&amp;B20))</x:f>
        <x:v>0</x:v>
      </x:c>
      <x:c r="G20" s="234" t="n">
        <x:f>IF(A20="","",SUMIFS('现金流水'!$H$5:$H$104,'现金流水'!$A$5:$A$104,"&gt;="&amp;A20,'现金流水'!$A$5:$A$104,"&lt;="&amp;B20,'现金流水'!$B$5:$B$104,"收入",'现金流水'!$J$5:$J$104,"已到账"))</x:f>
        <x:v>0</x:v>
      </x:c>
      <x:c r="H20" s="234" t="n">
        <x:f>IF(A20="","",SUMIFS('现金流水'!$H$5:$H$104,'现金流水'!$A$5:$A$104,"&gt;="&amp;A20,'现金流水'!$A$5:$A$104,"&lt;="&amp;B20,'现金流水'!$B$5:$B$104,"直接成本",'现金流水'!$J$5:$J$104,"已支付")+SUMIFS('现金流水'!$H$5:$H$104,'现金流水'!$A$5:$A$104,"&gt;="&amp;A20,'现金流水'!$A$5:$A$104,"&lt;="&amp;B20,'现金流水'!$B$5:$B$104,"固定成本",'现金流水'!$J$5:$J$104,"已支付")+SUMIFS('现金流水'!$H$5:$H$104,'现金流水'!$A$5:$A$104,"&gt;="&amp;A20,'现金流水'!$A$5:$A$104,"&lt;="&amp;B20,'现金流水'!$B$5:$B$104,"退款",'现金流水'!$J$5:$J$104,"已支付"))</x:f>
        <x:v>0</x:v>
      </x:c>
      <x:c r="I20" s="234" t="n">
        <x:f>IF(A20="","",G20-H20)</x:f>
        <x:v>0</x:v>
      </x:c>
      <x:c r="J20" s="234" t="n">
        <x:f>IF(A20="","",'说明与目标'!$B$14+SUM($I$18:I20))</x:f>
        <x:v>0</x:v>
      </x:c>
      <x:c r="K20" s="234" t="n">
        <x:f>IF(A20="","",ROUND('说明与目标'!$B$8*MIN(1,MAX(0,(B20-'说明与目标'!$B$13)/('说明与目标'!$B$7-'说明与目标'!$B$13))),0))</x:f>
        <x:v>15267</x:v>
      </x:c>
      <x:c r="L20" s="234" t="n">
        <x:f>IF(A20="","",ROUND(J20-K20,0))</x:f>
        <x:v>-15267</x:v>
      </x:c>
      <x:c r="M20" s="174"/>
      <x:c r="N20" s="174" t="str">
        <x:f>TEXT(A20,"yyyy-mm-dd")</x:f>
        <x:v>2026-09-05</x:v>
      </x:c>
      <x:c r="O20" s="174" t="n">
        <x:f>J20</x:f>
        <x:v>0</x:v>
      </x:c>
      <x:c r="P20" s="174" t="n">
        <x:f>K20</x:f>
        <x:v>15267</x:v>
      </x:c>
    </x:row>
    <x:row r="21">
      <x:c r="A21" s="200" t="n">
        <x:f>IF(A20="","",IF(A20+7&lt;='说明与目标'!$B$7,A20+7,""))</x:f>
        <x:v>46277</x:v>
      </x:c>
      <x:c r="B21" s="200" t="n">
        <x:f>IF(A21="","",MIN(A21+6,'说明与目标'!$B$7))</x:f>
        <x:v>46283</x:v>
      </x:c>
      <x:c r="C21" s="243" t="n">
        <x:f>IF(A21="","",COUNTIFS('线索'!$B$5:$B$54,"&gt;="&amp;A21,'线索'!$B$5:$B$54,"&lt;="&amp;B21))</x:f>
        <x:v>0</x:v>
      </x:c>
      <x:c r="D21" s="243" t="n">
        <x:f>IF(A21="","",COUNTIFS('线索'!$B$5:$B$54,"&gt;="&amp;A21,'线索'!$B$5:$B$54,"&lt;="&amp;B21,'线索'!$L$5:$L$54,"&lt;&gt;新线索",'线索'!$L$5:$L$54,"&lt;&gt;未成交",'线索'!$L$5:$L$54,"&lt;&gt;暂停",'线索'!$L$5:$L$54,"&lt;&gt;"))</x:f>
        <x:v>0</x:v>
      </x:c>
      <x:c r="E21" s="243" t="n">
        <x:f>IF(A21="","",COUNTIFS('报价'!$C$5:$C$54,"&gt;="&amp;A21,'报价'!$C$5:$C$54,"&lt;="&amp;B21))</x:f>
        <x:v>0</x:v>
      </x:c>
      <x:c r="F21" s="243" t="n">
        <x:f>IF(A21="","",COUNTIFS('报价'!$Q$5:$Q$54,"&gt;="&amp;A21,'报价'!$Q$5:$Q$54,"&lt;="&amp;B21))</x:f>
        <x:v>0</x:v>
      </x:c>
      <x:c r="G21" s="234" t="n">
        <x:f>IF(A21="","",SUMIFS('现金流水'!$H$5:$H$104,'现金流水'!$A$5:$A$104,"&gt;="&amp;A21,'现金流水'!$A$5:$A$104,"&lt;="&amp;B21,'现金流水'!$B$5:$B$104,"收入",'现金流水'!$J$5:$J$104,"已到账"))</x:f>
        <x:v>0</x:v>
      </x:c>
      <x:c r="H21" s="234" t="n">
        <x:f>IF(A21="","",SUMIFS('现金流水'!$H$5:$H$104,'现金流水'!$A$5:$A$104,"&gt;="&amp;A21,'现金流水'!$A$5:$A$104,"&lt;="&amp;B21,'现金流水'!$B$5:$B$104,"直接成本",'现金流水'!$J$5:$J$104,"已支付")+SUMIFS('现金流水'!$H$5:$H$104,'现金流水'!$A$5:$A$104,"&gt;="&amp;A21,'现金流水'!$A$5:$A$104,"&lt;="&amp;B21,'现金流水'!$B$5:$B$104,"固定成本",'现金流水'!$J$5:$J$104,"已支付")+SUMIFS('现金流水'!$H$5:$H$104,'现金流水'!$A$5:$A$104,"&gt;="&amp;A21,'现金流水'!$A$5:$A$104,"&lt;="&amp;B21,'现金流水'!$B$5:$B$104,"退款",'现金流水'!$J$5:$J$104,"已支付"))</x:f>
        <x:v>0</x:v>
      </x:c>
      <x:c r="I21" s="234" t="n">
        <x:f>IF(A21="","",G21-H21)</x:f>
        <x:v>0</x:v>
      </x:c>
      <x:c r="J21" s="234" t="n">
        <x:f>IF(A21="","",'说明与目标'!$B$14+SUM($I$18:I21))</x:f>
        <x:v>0</x:v>
      </x:c>
      <x:c r="K21" s="234" t="n">
        <x:f>IF(A21="","",ROUND('说明与目标'!$B$8*MIN(1,MAX(0,(B21-'说明与目标'!$B$13)/('说明与目标'!$B$7-'说明与目标'!$B$13))),0))</x:f>
        <x:v>20611</x:v>
      </x:c>
      <x:c r="L21" s="234" t="n">
        <x:f>IF(A21="","",ROUND(J21-K21,0))</x:f>
        <x:v>-20611</x:v>
      </x:c>
      <x:c r="M21" s="174"/>
      <x:c r="N21" s="174" t="str">
        <x:f>TEXT(A21,"yyyy-mm-dd")</x:f>
        <x:v>2026-09-12</x:v>
      </x:c>
      <x:c r="O21" s="174" t="n">
        <x:f>J21</x:f>
        <x:v>0</x:v>
      </x:c>
      <x:c r="P21" s="174" t="n">
        <x:f>K21</x:f>
        <x:v>20611</x:v>
      </x:c>
    </x:row>
    <x:row r="22">
      <x:c r="A22" s="200" t="n">
        <x:f>IF(A21="","",IF(A21+7&lt;='说明与目标'!$B$7,A21+7,""))</x:f>
        <x:v>46284</x:v>
      </x:c>
      <x:c r="B22" s="200" t="n">
        <x:f>IF(A22="","",MIN(A22+6,'说明与目标'!$B$7))</x:f>
        <x:v>46290</x:v>
      </x:c>
      <x:c r="C22" s="243" t="n">
        <x:f>IF(A22="","",COUNTIFS('线索'!$B$5:$B$54,"&gt;="&amp;A22,'线索'!$B$5:$B$54,"&lt;="&amp;B22))</x:f>
        <x:v>0</x:v>
      </x:c>
      <x:c r="D22" s="243" t="n">
        <x:f>IF(A22="","",COUNTIFS('线索'!$B$5:$B$54,"&gt;="&amp;A22,'线索'!$B$5:$B$54,"&lt;="&amp;B22,'线索'!$L$5:$L$54,"&lt;&gt;新线索",'线索'!$L$5:$L$54,"&lt;&gt;未成交",'线索'!$L$5:$L$54,"&lt;&gt;暂停",'线索'!$L$5:$L$54,"&lt;&gt;"))</x:f>
        <x:v>0</x:v>
      </x:c>
      <x:c r="E22" s="243" t="n">
        <x:f>IF(A22="","",COUNTIFS('报价'!$C$5:$C$54,"&gt;="&amp;A22,'报价'!$C$5:$C$54,"&lt;="&amp;B22))</x:f>
        <x:v>0</x:v>
      </x:c>
      <x:c r="F22" s="243" t="n">
        <x:f>IF(A22="","",COUNTIFS('报价'!$Q$5:$Q$54,"&gt;="&amp;A22,'报价'!$Q$5:$Q$54,"&lt;="&amp;B22))</x:f>
        <x:v>0</x:v>
      </x:c>
      <x:c r="G22" s="234" t="n">
        <x:f>IF(A22="","",SUMIFS('现金流水'!$H$5:$H$104,'现金流水'!$A$5:$A$104,"&gt;="&amp;A22,'现金流水'!$A$5:$A$104,"&lt;="&amp;B22,'现金流水'!$B$5:$B$104,"收入",'现金流水'!$J$5:$J$104,"已到账"))</x:f>
        <x:v>0</x:v>
      </x:c>
      <x:c r="H22" s="234" t="n">
        <x:f>IF(A22="","",SUMIFS('现金流水'!$H$5:$H$104,'现金流水'!$A$5:$A$104,"&gt;="&amp;A22,'现金流水'!$A$5:$A$104,"&lt;="&amp;B22,'现金流水'!$B$5:$B$104,"直接成本",'现金流水'!$J$5:$J$104,"已支付")+SUMIFS('现金流水'!$H$5:$H$104,'现金流水'!$A$5:$A$104,"&gt;="&amp;A22,'现金流水'!$A$5:$A$104,"&lt;="&amp;B22,'现金流水'!$B$5:$B$104,"固定成本",'现金流水'!$J$5:$J$104,"已支付")+SUMIFS('现金流水'!$H$5:$H$104,'现金流水'!$A$5:$A$104,"&gt;="&amp;A22,'现金流水'!$A$5:$A$104,"&lt;="&amp;B22,'现金流水'!$B$5:$B$104,"退款",'现金流水'!$J$5:$J$104,"已支付"))</x:f>
        <x:v>0</x:v>
      </x:c>
      <x:c r="I22" s="234" t="n">
        <x:f>IF(A22="","",G22-H22)</x:f>
        <x:v>0</x:v>
      </x:c>
      <x:c r="J22" s="234" t="n">
        <x:f>IF(A22="","",'说明与目标'!$B$14+SUM($I$18:I22))</x:f>
        <x:v>0</x:v>
      </x:c>
      <x:c r="K22" s="234" t="n">
        <x:f>IF(A22="","",ROUND('说明与目标'!$B$8*MIN(1,MAX(0,(B22-'说明与目标'!$B$13)/('说明与目标'!$B$7-'说明与目标'!$B$13))),0))</x:f>
        <x:v>25954</x:v>
      </x:c>
      <x:c r="L22" s="234" t="n">
        <x:f>IF(A22="","",ROUND(J22-K22,0))</x:f>
        <x:v>-25954</x:v>
      </x:c>
      <x:c r="M22" s="174"/>
      <x:c r="N22" s="174" t="str">
        <x:f>TEXT(A22,"yyyy-mm-dd")</x:f>
        <x:v>2026-09-19</x:v>
      </x:c>
      <x:c r="O22" s="174" t="n">
        <x:f>J22</x:f>
        <x:v>0</x:v>
      </x:c>
      <x:c r="P22" s="174" t="n">
        <x:f>K22</x:f>
        <x:v>25954</x:v>
      </x:c>
    </x:row>
    <x:row r="23">
      <x:c r="A23" s="200" t="n">
        <x:f>IF(A22="","",IF(A22+7&lt;='说明与目标'!$B$7,A22+7,""))</x:f>
        <x:v>46291</x:v>
      </x:c>
      <x:c r="B23" s="200" t="n">
        <x:f>IF(A23="","",MIN(A23+6,'说明与目标'!$B$7))</x:f>
        <x:v>46297</x:v>
      </x:c>
      <x:c r="C23" s="243" t="n">
        <x:f>IF(A23="","",COUNTIFS('线索'!$B$5:$B$54,"&gt;="&amp;A23,'线索'!$B$5:$B$54,"&lt;="&amp;B23))</x:f>
        <x:v>0</x:v>
      </x:c>
      <x:c r="D23" s="243" t="n">
        <x:f>IF(A23="","",COUNTIFS('线索'!$B$5:$B$54,"&gt;="&amp;A23,'线索'!$B$5:$B$54,"&lt;="&amp;B23,'线索'!$L$5:$L$54,"&lt;&gt;新线索",'线索'!$L$5:$L$54,"&lt;&gt;未成交",'线索'!$L$5:$L$54,"&lt;&gt;暂停",'线索'!$L$5:$L$54,"&lt;&gt;"))</x:f>
        <x:v>0</x:v>
      </x:c>
      <x:c r="E23" s="243" t="n">
        <x:f>IF(A23="","",COUNTIFS('报价'!$C$5:$C$54,"&gt;="&amp;A23,'报价'!$C$5:$C$54,"&lt;="&amp;B23))</x:f>
        <x:v>0</x:v>
      </x:c>
      <x:c r="F23" s="243" t="n">
        <x:f>IF(A23="","",COUNTIFS('报价'!$Q$5:$Q$54,"&gt;="&amp;A23,'报价'!$Q$5:$Q$54,"&lt;="&amp;B23))</x:f>
        <x:v>0</x:v>
      </x:c>
      <x:c r="G23" s="234" t="n">
        <x:f>IF(A23="","",SUMIFS('现金流水'!$H$5:$H$104,'现金流水'!$A$5:$A$104,"&gt;="&amp;A23,'现金流水'!$A$5:$A$104,"&lt;="&amp;B23,'现金流水'!$B$5:$B$104,"收入",'现金流水'!$J$5:$J$104,"已到账"))</x:f>
        <x:v>0</x:v>
      </x:c>
      <x:c r="H23" s="234" t="n">
        <x:f>IF(A23="","",SUMIFS('现金流水'!$H$5:$H$104,'现金流水'!$A$5:$A$104,"&gt;="&amp;A23,'现金流水'!$A$5:$A$104,"&lt;="&amp;B23,'现金流水'!$B$5:$B$104,"直接成本",'现金流水'!$J$5:$J$104,"已支付")+SUMIFS('现金流水'!$H$5:$H$104,'现金流水'!$A$5:$A$104,"&gt;="&amp;A23,'现金流水'!$A$5:$A$104,"&lt;="&amp;B23,'现金流水'!$B$5:$B$104,"固定成本",'现金流水'!$J$5:$J$104,"已支付")+SUMIFS('现金流水'!$H$5:$H$104,'现金流水'!$A$5:$A$104,"&gt;="&amp;A23,'现金流水'!$A$5:$A$104,"&lt;="&amp;B23,'现金流水'!$B$5:$B$104,"退款",'现金流水'!$J$5:$J$104,"已支付"))</x:f>
        <x:v>0</x:v>
      </x:c>
      <x:c r="I23" s="234" t="n">
        <x:f>IF(A23="","",G23-H23)</x:f>
        <x:v>0</x:v>
      </x:c>
      <x:c r="J23" s="234" t="n">
        <x:f>IF(A23="","",'说明与目标'!$B$14+SUM($I$18:I23))</x:f>
        <x:v>0</x:v>
      </x:c>
      <x:c r="K23" s="234" t="n">
        <x:f>IF(A23="","",ROUND('说明与目标'!$B$8*MIN(1,MAX(0,(B23-'说明与目标'!$B$13)/('说明与目标'!$B$7-'说明与目标'!$B$13))),0))</x:f>
        <x:v>31298</x:v>
      </x:c>
      <x:c r="L23" s="234" t="n">
        <x:f>IF(A23="","",ROUND(J23-K23,0))</x:f>
        <x:v>-31298</x:v>
      </x:c>
      <x:c r="M23" s="174"/>
      <x:c r="N23" s="174" t="str">
        <x:f>TEXT(A23,"yyyy-mm-dd")</x:f>
        <x:v>2026-09-26</x:v>
      </x:c>
      <x:c r="O23" s="174" t="n">
        <x:f>J23</x:f>
        <x:v>0</x:v>
      </x:c>
      <x:c r="P23" s="174" t="n">
        <x:f>K23</x:f>
        <x:v>31298</x:v>
      </x:c>
    </x:row>
    <x:row r="24">
      <x:c r="A24" s="200" t="n">
        <x:f>IF(A23="","",IF(A23+7&lt;='说明与目标'!$B$7,A23+7,""))</x:f>
        <x:v>46298</x:v>
      </x:c>
      <x:c r="B24" s="200" t="n">
        <x:f>IF(A24="","",MIN(A24+6,'说明与目标'!$B$7))</x:f>
        <x:v>46304</x:v>
      </x:c>
      <x:c r="C24" s="243" t="n">
        <x:f>IF(A24="","",COUNTIFS('线索'!$B$5:$B$54,"&gt;="&amp;A24,'线索'!$B$5:$B$54,"&lt;="&amp;B24))</x:f>
        <x:v>0</x:v>
      </x:c>
      <x:c r="D24" s="243" t="n">
        <x:f>IF(A24="","",COUNTIFS('线索'!$B$5:$B$54,"&gt;="&amp;A24,'线索'!$B$5:$B$54,"&lt;="&amp;B24,'线索'!$L$5:$L$54,"&lt;&gt;新线索",'线索'!$L$5:$L$54,"&lt;&gt;未成交",'线索'!$L$5:$L$54,"&lt;&gt;暂停",'线索'!$L$5:$L$54,"&lt;&gt;"))</x:f>
        <x:v>0</x:v>
      </x:c>
      <x:c r="E24" s="243" t="n">
        <x:f>IF(A24="","",COUNTIFS('报价'!$C$5:$C$54,"&gt;="&amp;A24,'报价'!$C$5:$C$54,"&lt;="&amp;B24))</x:f>
        <x:v>0</x:v>
      </x:c>
      <x:c r="F24" s="243" t="n">
        <x:f>IF(A24="","",COUNTIFS('报价'!$Q$5:$Q$54,"&gt;="&amp;A24,'报价'!$Q$5:$Q$54,"&lt;="&amp;B24))</x:f>
        <x:v>0</x:v>
      </x:c>
      <x:c r="G24" s="234" t="n">
        <x:f>IF(A24="","",SUMIFS('现金流水'!$H$5:$H$104,'现金流水'!$A$5:$A$104,"&gt;="&amp;A24,'现金流水'!$A$5:$A$104,"&lt;="&amp;B24,'现金流水'!$B$5:$B$104,"收入",'现金流水'!$J$5:$J$104,"已到账"))</x:f>
        <x:v>0</x:v>
      </x:c>
      <x:c r="H24" s="234" t="n">
        <x:f>IF(A24="","",SUMIFS('现金流水'!$H$5:$H$104,'现金流水'!$A$5:$A$104,"&gt;="&amp;A24,'现金流水'!$A$5:$A$104,"&lt;="&amp;B24,'现金流水'!$B$5:$B$104,"直接成本",'现金流水'!$J$5:$J$104,"已支付")+SUMIFS('现金流水'!$H$5:$H$104,'现金流水'!$A$5:$A$104,"&gt;="&amp;A24,'现金流水'!$A$5:$A$104,"&lt;="&amp;B24,'现金流水'!$B$5:$B$104,"固定成本",'现金流水'!$J$5:$J$104,"已支付")+SUMIFS('现金流水'!$H$5:$H$104,'现金流水'!$A$5:$A$104,"&gt;="&amp;A24,'现金流水'!$A$5:$A$104,"&lt;="&amp;B24,'现金流水'!$B$5:$B$104,"退款",'现金流水'!$J$5:$J$104,"已支付"))</x:f>
        <x:v>0</x:v>
      </x:c>
      <x:c r="I24" s="234" t="n">
        <x:f>IF(A24="","",G24-H24)</x:f>
        <x:v>0</x:v>
      </x:c>
      <x:c r="J24" s="234" t="n">
        <x:f>IF(A24="","",'说明与目标'!$B$14+SUM($I$18:I24))</x:f>
        <x:v>0</x:v>
      </x:c>
      <x:c r="K24" s="234" t="n">
        <x:f>IF(A24="","",ROUND('说明与目标'!$B$8*MIN(1,MAX(0,(B24-'说明与目标'!$B$13)/('说明与目标'!$B$7-'说明与目标'!$B$13))),0))</x:f>
        <x:v>36641</x:v>
      </x:c>
      <x:c r="L24" s="234" t="n">
        <x:f>IF(A24="","",ROUND(J24-K24,0))</x:f>
        <x:v>-36641</x:v>
      </x:c>
      <x:c r="M24" s="174"/>
      <x:c r="N24" s="174" t="str">
        <x:f>TEXT(A24,"yyyy-mm-dd")</x:f>
        <x:v>2026-10-03</x:v>
      </x:c>
      <x:c r="O24" s="174" t="n">
        <x:f>J24</x:f>
        <x:v>0</x:v>
      </x:c>
      <x:c r="P24" s="174" t="n">
        <x:f>K24</x:f>
        <x:v>36641</x:v>
      </x:c>
    </x:row>
    <x:row r="25">
      <x:c r="A25" s="200" t="n">
        <x:f>IF(A24="","",IF(A24+7&lt;='说明与目标'!$B$7,A24+7,""))</x:f>
        <x:v>46305</x:v>
      </x:c>
      <x:c r="B25" s="200" t="n">
        <x:f>IF(A25="","",MIN(A25+6,'说明与目标'!$B$7))</x:f>
        <x:v>46311</x:v>
      </x:c>
      <x:c r="C25" s="243" t="n">
        <x:f>IF(A25="","",COUNTIFS('线索'!$B$5:$B$54,"&gt;="&amp;A25,'线索'!$B$5:$B$54,"&lt;="&amp;B25))</x:f>
        <x:v>0</x:v>
      </x:c>
      <x:c r="D25" s="243" t="n">
        <x:f>IF(A25="","",COUNTIFS('线索'!$B$5:$B$54,"&gt;="&amp;A25,'线索'!$B$5:$B$54,"&lt;="&amp;B25,'线索'!$L$5:$L$54,"&lt;&gt;新线索",'线索'!$L$5:$L$54,"&lt;&gt;未成交",'线索'!$L$5:$L$54,"&lt;&gt;暂停",'线索'!$L$5:$L$54,"&lt;&gt;"))</x:f>
        <x:v>0</x:v>
      </x:c>
      <x:c r="E25" s="243" t="n">
        <x:f>IF(A25="","",COUNTIFS('报价'!$C$5:$C$54,"&gt;="&amp;A25,'报价'!$C$5:$C$54,"&lt;="&amp;B25))</x:f>
        <x:v>0</x:v>
      </x:c>
      <x:c r="F25" s="243" t="n">
        <x:f>IF(A25="","",COUNTIFS('报价'!$Q$5:$Q$54,"&gt;="&amp;A25,'报价'!$Q$5:$Q$54,"&lt;="&amp;B25))</x:f>
        <x:v>0</x:v>
      </x:c>
      <x:c r="G25" s="234" t="n">
        <x:f>IF(A25="","",SUMIFS('现金流水'!$H$5:$H$104,'现金流水'!$A$5:$A$104,"&gt;="&amp;A25,'现金流水'!$A$5:$A$104,"&lt;="&amp;B25,'现金流水'!$B$5:$B$104,"收入",'现金流水'!$J$5:$J$104,"已到账"))</x:f>
        <x:v>0</x:v>
      </x:c>
      <x:c r="H25" s="234" t="n">
        <x:f>IF(A25="","",SUMIFS('现金流水'!$H$5:$H$104,'现金流水'!$A$5:$A$104,"&gt;="&amp;A25,'现金流水'!$A$5:$A$104,"&lt;="&amp;B25,'现金流水'!$B$5:$B$104,"直接成本",'现金流水'!$J$5:$J$104,"已支付")+SUMIFS('现金流水'!$H$5:$H$104,'现金流水'!$A$5:$A$104,"&gt;="&amp;A25,'现金流水'!$A$5:$A$104,"&lt;="&amp;B25,'现金流水'!$B$5:$B$104,"固定成本",'现金流水'!$J$5:$J$104,"已支付")+SUMIFS('现金流水'!$H$5:$H$104,'现金流水'!$A$5:$A$104,"&gt;="&amp;A25,'现金流水'!$A$5:$A$104,"&lt;="&amp;B25,'现金流水'!$B$5:$B$104,"退款",'现金流水'!$J$5:$J$104,"已支付"))</x:f>
        <x:v>0</x:v>
      </x:c>
      <x:c r="I25" s="234" t="n">
        <x:f>IF(A25="","",G25-H25)</x:f>
        <x:v>0</x:v>
      </x:c>
      <x:c r="J25" s="234" t="n">
        <x:f>IF(A25="","",'说明与目标'!$B$14+SUM($I$18:I25))</x:f>
        <x:v>0</x:v>
      </x:c>
      <x:c r="K25" s="234" t="n">
        <x:f>IF(A25="","",ROUND('说明与目标'!$B$8*MIN(1,MAX(0,(B25-'说明与目标'!$B$13)/('说明与目标'!$B$7-'说明与目标'!$B$13))),0))</x:f>
        <x:v>41985</x:v>
      </x:c>
      <x:c r="L25" s="234" t="n">
        <x:f>IF(A25="","",ROUND(J25-K25,0))</x:f>
        <x:v>-41985</x:v>
      </x:c>
      <x:c r="M25" s="174"/>
      <x:c r="N25" s="174" t="str">
        <x:f>TEXT(A25,"yyyy-mm-dd")</x:f>
        <x:v>2026-10-10</x:v>
      </x:c>
      <x:c r="O25" s="174" t="n">
        <x:f>J25</x:f>
        <x:v>0</x:v>
      </x:c>
      <x:c r="P25" s="174" t="n">
        <x:f>K25</x:f>
        <x:v>41985</x:v>
      </x:c>
    </x:row>
    <x:row r="26">
      <x:c r="A26" s="200" t="n">
        <x:f>IF(A25="","",IF(A25+7&lt;='说明与目标'!$B$7,A25+7,""))</x:f>
        <x:v>46312</x:v>
      </x:c>
      <x:c r="B26" s="200" t="n">
        <x:f>IF(A26="","",MIN(A26+6,'说明与目标'!$B$7))</x:f>
        <x:v>46318</x:v>
      </x:c>
      <x:c r="C26" s="243" t="n">
        <x:f>IF(A26="","",COUNTIFS('线索'!$B$5:$B$54,"&gt;="&amp;A26,'线索'!$B$5:$B$54,"&lt;="&amp;B26))</x:f>
        <x:v>0</x:v>
      </x:c>
      <x:c r="D26" s="243" t="n">
        <x:f>IF(A26="","",COUNTIFS('线索'!$B$5:$B$54,"&gt;="&amp;A26,'线索'!$B$5:$B$54,"&lt;="&amp;B26,'线索'!$L$5:$L$54,"&lt;&gt;新线索",'线索'!$L$5:$L$54,"&lt;&gt;未成交",'线索'!$L$5:$L$54,"&lt;&gt;暂停",'线索'!$L$5:$L$54,"&lt;&gt;"))</x:f>
        <x:v>0</x:v>
      </x:c>
      <x:c r="E26" s="243" t="n">
        <x:f>IF(A26="","",COUNTIFS('报价'!$C$5:$C$54,"&gt;="&amp;A26,'报价'!$C$5:$C$54,"&lt;="&amp;B26))</x:f>
        <x:v>0</x:v>
      </x:c>
      <x:c r="F26" s="243" t="n">
        <x:f>IF(A26="","",COUNTIFS('报价'!$Q$5:$Q$54,"&gt;="&amp;A26,'报价'!$Q$5:$Q$54,"&lt;="&amp;B26))</x:f>
        <x:v>0</x:v>
      </x:c>
      <x:c r="G26" s="234" t="n">
        <x:f>IF(A26="","",SUMIFS('现金流水'!$H$5:$H$104,'现金流水'!$A$5:$A$104,"&gt;="&amp;A26,'现金流水'!$A$5:$A$104,"&lt;="&amp;B26,'现金流水'!$B$5:$B$104,"收入",'现金流水'!$J$5:$J$104,"已到账"))</x:f>
        <x:v>0</x:v>
      </x:c>
      <x:c r="H26" s="234" t="n">
        <x:f>IF(A26="","",SUMIFS('现金流水'!$H$5:$H$104,'现金流水'!$A$5:$A$104,"&gt;="&amp;A26,'现金流水'!$A$5:$A$104,"&lt;="&amp;B26,'现金流水'!$B$5:$B$104,"直接成本",'现金流水'!$J$5:$J$104,"已支付")+SUMIFS('现金流水'!$H$5:$H$104,'现金流水'!$A$5:$A$104,"&gt;="&amp;A26,'现金流水'!$A$5:$A$104,"&lt;="&amp;B26,'现金流水'!$B$5:$B$104,"固定成本",'现金流水'!$J$5:$J$104,"已支付")+SUMIFS('现金流水'!$H$5:$H$104,'现金流水'!$A$5:$A$104,"&gt;="&amp;A26,'现金流水'!$A$5:$A$104,"&lt;="&amp;B26,'现金流水'!$B$5:$B$104,"退款",'现金流水'!$J$5:$J$104,"已支付"))</x:f>
        <x:v>0</x:v>
      </x:c>
      <x:c r="I26" s="234" t="n">
        <x:f>IF(A26="","",G26-H26)</x:f>
        <x:v>0</x:v>
      </x:c>
      <x:c r="J26" s="234" t="n">
        <x:f>IF(A26="","",'说明与目标'!$B$14+SUM($I$18:I26))</x:f>
        <x:v>0</x:v>
      </x:c>
      <x:c r="K26" s="234" t="n">
        <x:f>IF(A26="","",ROUND('说明与目标'!$B$8*MIN(1,MAX(0,(B26-'说明与目标'!$B$13)/('说明与目标'!$B$7-'说明与目标'!$B$13))),0))</x:f>
        <x:v>47328</x:v>
      </x:c>
      <x:c r="L26" s="234" t="n">
        <x:f>IF(A26="","",ROUND(J26-K26,0))</x:f>
        <x:v>-47328</x:v>
      </x:c>
      <x:c r="M26" s="174"/>
      <x:c r="N26" s="174" t="str">
        <x:f>TEXT(A26,"yyyy-mm-dd")</x:f>
        <x:v>2026-10-17</x:v>
      </x:c>
      <x:c r="O26" s="174" t="n">
        <x:f>J26</x:f>
        <x:v>0</x:v>
      </x:c>
      <x:c r="P26" s="174" t="n">
        <x:f>K26</x:f>
        <x:v>47328</x:v>
      </x:c>
    </x:row>
    <x:row r="27">
      <x:c r="A27" s="200" t="n">
        <x:f>IF(A26="","",IF(A26+7&lt;='说明与目标'!$B$7,A26+7,""))</x:f>
        <x:v>46319</x:v>
      </x:c>
      <x:c r="B27" s="200" t="n">
        <x:f>IF(A27="","",MIN(A27+6,'说明与目标'!$B$7))</x:f>
        <x:v>46325</x:v>
      </x:c>
      <x:c r="C27" s="243" t="n">
        <x:f>IF(A27="","",COUNTIFS('线索'!$B$5:$B$54,"&gt;="&amp;A27,'线索'!$B$5:$B$54,"&lt;="&amp;B27))</x:f>
        <x:v>0</x:v>
      </x:c>
      <x:c r="D27" s="243" t="n">
        <x:f>IF(A27="","",COUNTIFS('线索'!$B$5:$B$54,"&gt;="&amp;A27,'线索'!$B$5:$B$54,"&lt;="&amp;B27,'线索'!$L$5:$L$54,"&lt;&gt;新线索",'线索'!$L$5:$L$54,"&lt;&gt;未成交",'线索'!$L$5:$L$54,"&lt;&gt;暂停",'线索'!$L$5:$L$54,"&lt;&gt;"))</x:f>
        <x:v>0</x:v>
      </x:c>
      <x:c r="E27" s="243" t="n">
        <x:f>IF(A27="","",COUNTIFS('报价'!$C$5:$C$54,"&gt;="&amp;A27,'报价'!$C$5:$C$54,"&lt;="&amp;B27))</x:f>
        <x:v>0</x:v>
      </x:c>
      <x:c r="F27" s="243" t="n">
        <x:f>IF(A27="","",COUNTIFS('报价'!$Q$5:$Q$54,"&gt;="&amp;A27,'报价'!$Q$5:$Q$54,"&lt;="&amp;B27))</x:f>
        <x:v>0</x:v>
      </x:c>
      <x:c r="G27" s="234" t="n">
        <x:f>IF(A27="","",SUMIFS('现金流水'!$H$5:$H$104,'现金流水'!$A$5:$A$104,"&gt;="&amp;A27,'现金流水'!$A$5:$A$104,"&lt;="&amp;B27,'现金流水'!$B$5:$B$104,"收入",'现金流水'!$J$5:$J$104,"已到账"))</x:f>
        <x:v>0</x:v>
      </x:c>
      <x:c r="H27" s="234" t="n">
        <x:f>IF(A27="","",SUMIFS('现金流水'!$H$5:$H$104,'现金流水'!$A$5:$A$104,"&gt;="&amp;A27,'现金流水'!$A$5:$A$104,"&lt;="&amp;B27,'现金流水'!$B$5:$B$104,"直接成本",'现金流水'!$J$5:$J$104,"已支付")+SUMIFS('现金流水'!$H$5:$H$104,'现金流水'!$A$5:$A$104,"&gt;="&amp;A27,'现金流水'!$A$5:$A$104,"&lt;="&amp;B27,'现金流水'!$B$5:$B$104,"固定成本",'现金流水'!$J$5:$J$104,"已支付")+SUMIFS('现金流水'!$H$5:$H$104,'现金流水'!$A$5:$A$104,"&gt;="&amp;A27,'现金流水'!$A$5:$A$104,"&lt;="&amp;B27,'现金流水'!$B$5:$B$104,"退款",'现金流水'!$J$5:$J$104,"已支付"))</x:f>
        <x:v>0</x:v>
      </x:c>
      <x:c r="I27" s="234" t="n">
        <x:f>IF(A27="","",G27-H27)</x:f>
        <x:v>0</x:v>
      </x:c>
      <x:c r="J27" s="234" t="n">
        <x:f>IF(A27="","",'说明与目标'!$B$14+SUM($I$18:I27))</x:f>
        <x:v>0</x:v>
      </x:c>
      <x:c r="K27" s="234" t="n">
        <x:f>IF(A27="","",ROUND('说明与目标'!$B$8*MIN(1,MAX(0,(B27-'说明与目标'!$B$13)/('说明与目标'!$B$7-'说明与目标'!$B$13))),0))</x:f>
        <x:v>52672</x:v>
      </x:c>
      <x:c r="L27" s="234" t="n">
        <x:f>IF(A27="","",ROUND(J27-K27,0))</x:f>
        <x:v>-52672</x:v>
      </x:c>
      <x:c r="M27" s="174"/>
      <x:c r="N27" s="174" t="str">
        <x:f>TEXT(A27,"yyyy-mm-dd")</x:f>
        <x:v>2026-10-24</x:v>
      </x:c>
      <x:c r="O27" s="174" t="n">
        <x:f>J27</x:f>
        <x:v>0</x:v>
      </x:c>
      <x:c r="P27" s="174" t="n">
        <x:f>K27</x:f>
        <x:v>52672</x:v>
      </x:c>
    </x:row>
    <x:row r="28">
      <x:c r="A28" s="200" t="n">
        <x:f>IF(A27="","",IF(A27+7&lt;='说明与目标'!$B$7,A27+7,""))</x:f>
        <x:v>46326</x:v>
      </x:c>
      <x:c r="B28" s="200" t="n">
        <x:f>IF(A28="","",MIN(A28+6,'说明与目标'!$B$7))</x:f>
        <x:v>46332</x:v>
      </x:c>
      <x:c r="C28" s="243" t="n">
        <x:f>IF(A28="","",COUNTIFS('线索'!$B$5:$B$54,"&gt;="&amp;A28,'线索'!$B$5:$B$54,"&lt;="&amp;B28))</x:f>
        <x:v>0</x:v>
      </x:c>
      <x:c r="D28" s="243" t="n">
        <x:f>IF(A28="","",COUNTIFS('线索'!$B$5:$B$54,"&gt;="&amp;A28,'线索'!$B$5:$B$54,"&lt;="&amp;B28,'线索'!$L$5:$L$54,"&lt;&gt;新线索",'线索'!$L$5:$L$54,"&lt;&gt;未成交",'线索'!$L$5:$L$54,"&lt;&gt;暂停",'线索'!$L$5:$L$54,"&lt;&gt;"))</x:f>
        <x:v>0</x:v>
      </x:c>
      <x:c r="E28" s="243" t="n">
        <x:f>IF(A28="","",COUNTIFS('报价'!$C$5:$C$54,"&gt;="&amp;A28,'报价'!$C$5:$C$54,"&lt;="&amp;B28))</x:f>
        <x:v>0</x:v>
      </x:c>
      <x:c r="F28" s="243" t="n">
        <x:f>IF(A28="","",COUNTIFS('报价'!$Q$5:$Q$54,"&gt;="&amp;A28,'报价'!$Q$5:$Q$54,"&lt;="&amp;B28))</x:f>
        <x:v>0</x:v>
      </x:c>
      <x:c r="G28" s="234" t="n">
        <x:f>IF(A28="","",SUMIFS('现金流水'!$H$5:$H$104,'现金流水'!$A$5:$A$104,"&gt;="&amp;A28,'现金流水'!$A$5:$A$104,"&lt;="&amp;B28,'现金流水'!$B$5:$B$104,"收入",'现金流水'!$J$5:$J$104,"已到账"))</x:f>
        <x:v>0</x:v>
      </x:c>
      <x:c r="H28" s="234" t="n">
        <x:f>IF(A28="","",SUMIFS('现金流水'!$H$5:$H$104,'现金流水'!$A$5:$A$104,"&gt;="&amp;A28,'现金流水'!$A$5:$A$104,"&lt;="&amp;B28,'现金流水'!$B$5:$B$104,"直接成本",'现金流水'!$J$5:$J$104,"已支付")+SUMIFS('现金流水'!$H$5:$H$104,'现金流水'!$A$5:$A$104,"&gt;="&amp;A28,'现金流水'!$A$5:$A$104,"&lt;="&amp;B28,'现金流水'!$B$5:$B$104,"固定成本",'现金流水'!$J$5:$J$104,"已支付")+SUMIFS('现金流水'!$H$5:$H$104,'现金流水'!$A$5:$A$104,"&gt;="&amp;A28,'现金流水'!$A$5:$A$104,"&lt;="&amp;B28,'现金流水'!$B$5:$B$104,"退款",'现金流水'!$J$5:$J$104,"已支付"))</x:f>
        <x:v>0</x:v>
      </x:c>
      <x:c r="I28" s="234" t="n">
        <x:f>IF(A28="","",G28-H28)</x:f>
        <x:v>0</x:v>
      </x:c>
      <x:c r="J28" s="234" t="n">
        <x:f>IF(A28="","",'说明与目标'!$B$14+SUM($I$18:I28))</x:f>
        <x:v>0</x:v>
      </x:c>
      <x:c r="K28" s="234" t="n">
        <x:f>IF(A28="","",ROUND('说明与目标'!$B$8*MIN(1,MAX(0,(B28-'说明与目标'!$B$13)/('说明与目标'!$B$7-'说明与目标'!$B$13))),0))</x:f>
        <x:v>58015</x:v>
      </x:c>
      <x:c r="L28" s="234" t="n">
        <x:f>IF(A28="","",ROUND(J28-K28,0))</x:f>
        <x:v>-58015</x:v>
      </x:c>
      <x:c r="M28" s="174"/>
      <x:c r="N28" s="174" t="str">
        <x:f>TEXT(A28,"yyyy-mm-dd")</x:f>
        <x:v>2026-10-31</x:v>
      </x:c>
      <x:c r="O28" s="174" t="n">
        <x:f>J28</x:f>
        <x:v>0</x:v>
      </x:c>
      <x:c r="P28" s="174" t="n">
        <x:f>K28</x:f>
        <x:v>58015</x:v>
      </x:c>
    </x:row>
    <x:row r="29">
      <x:c r="A29" s="200" t="n">
        <x:f>IF(A28="","",IF(A28+7&lt;='说明与目标'!$B$7,A28+7,""))</x:f>
        <x:v>46333</x:v>
      </x:c>
      <x:c r="B29" s="200" t="n">
        <x:f>IF(A29="","",MIN(A29+6,'说明与目标'!$B$7))</x:f>
        <x:v>46339</x:v>
      </x:c>
      <x:c r="C29" s="243" t="n">
        <x:f>IF(A29="","",COUNTIFS('线索'!$B$5:$B$54,"&gt;="&amp;A29,'线索'!$B$5:$B$54,"&lt;="&amp;B29))</x:f>
        <x:v>0</x:v>
      </x:c>
      <x:c r="D29" s="243" t="n">
        <x:f>IF(A29="","",COUNTIFS('线索'!$B$5:$B$54,"&gt;="&amp;A29,'线索'!$B$5:$B$54,"&lt;="&amp;B29,'线索'!$L$5:$L$54,"&lt;&gt;新线索",'线索'!$L$5:$L$54,"&lt;&gt;未成交",'线索'!$L$5:$L$54,"&lt;&gt;暂停",'线索'!$L$5:$L$54,"&lt;&gt;"))</x:f>
        <x:v>0</x:v>
      </x:c>
      <x:c r="E29" s="243" t="n">
        <x:f>IF(A29="","",COUNTIFS('报价'!$C$5:$C$54,"&gt;="&amp;A29,'报价'!$C$5:$C$54,"&lt;="&amp;B29))</x:f>
        <x:v>0</x:v>
      </x:c>
      <x:c r="F29" s="243" t="n">
        <x:f>IF(A29="","",COUNTIFS('报价'!$Q$5:$Q$54,"&gt;="&amp;A29,'报价'!$Q$5:$Q$54,"&lt;="&amp;B29))</x:f>
        <x:v>0</x:v>
      </x:c>
      <x:c r="G29" s="234" t="n">
        <x:f>IF(A29="","",SUMIFS('现金流水'!$H$5:$H$104,'现金流水'!$A$5:$A$104,"&gt;="&amp;A29,'现金流水'!$A$5:$A$104,"&lt;="&amp;B29,'现金流水'!$B$5:$B$104,"收入",'现金流水'!$J$5:$J$104,"已到账"))</x:f>
        <x:v>0</x:v>
      </x:c>
      <x:c r="H29" s="234" t="n">
        <x:f>IF(A29="","",SUMIFS('现金流水'!$H$5:$H$104,'现金流水'!$A$5:$A$104,"&gt;="&amp;A29,'现金流水'!$A$5:$A$104,"&lt;="&amp;B29,'现金流水'!$B$5:$B$104,"直接成本",'现金流水'!$J$5:$J$104,"已支付")+SUMIFS('现金流水'!$H$5:$H$104,'现金流水'!$A$5:$A$104,"&gt;="&amp;A29,'现金流水'!$A$5:$A$104,"&lt;="&amp;B29,'现金流水'!$B$5:$B$104,"固定成本",'现金流水'!$J$5:$J$104,"已支付")+SUMIFS('现金流水'!$H$5:$H$104,'现金流水'!$A$5:$A$104,"&gt;="&amp;A29,'现金流水'!$A$5:$A$104,"&lt;="&amp;B29,'现金流水'!$B$5:$B$104,"退款",'现金流水'!$J$5:$J$104,"已支付"))</x:f>
        <x:v>0</x:v>
      </x:c>
      <x:c r="I29" s="234" t="n">
        <x:f>IF(A29="","",G29-H29)</x:f>
        <x:v>0</x:v>
      </x:c>
      <x:c r="J29" s="234" t="n">
        <x:f>IF(A29="","",'说明与目标'!$B$14+SUM($I$18:I29))</x:f>
        <x:v>0</x:v>
      </x:c>
      <x:c r="K29" s="234" t="n">
        <x:f>IF(A29="","",ROUND('说明与目标'!$B$8*MIN(1,MAX(0,(B29-'说明与目标'!$B$13)/('说明与目标'!$B$7-'说明与目标'!$B$13))),0))</x:f>
        <x:v>63359</x:v>
      </x:c>
      <x:c r="L29" s="234" t="n">
        <x:f>IF(A29="","",ROUND(J29-K29,0))</x:f>
        <x:v>-63359</x:v>
      </x:c>
      <x:c r="M29" s="174"/>
      <x:c r="N29" s="174" t="str">
        <x:f>TEXT(A29,"yyyy-mm-dd")</x:f>
        <x:v>2026-11-07</x:v>
      </x:c>
      <x:c r="O29" s="174" t="n">
        <x:f>J29</x:f>
        <x:v>0</x:v>
      </x:c>
      <x:c r="P29" s="174" t="n">
        <x:f>K29</x:f>
        <x:v>63359</x:v>
      </x:c>
    </x:row>
    <x:row r="30">
      <x:c r="A30" s="200" t="n">
        <x:f>IF(A29="","",IF(A29+7&lt;='说明与目标'!$B$7,A29+7,""))</x:f>
        <x:v>46340</x:v>
      </x:c>
      <x:c r="B30" s="200" t="n">
        <x:f>IF(A30="","",MIN(A30+6,'说明与目标'!$B$7))</x:f>
        <x:v>46346</x:v>
      </x:c>
      <x:c r="C30" s="243" t="n">
        <x:f>IF(A30="","",COUNTIFS('线索'!$B$5:$B$54,"&gt;="&amp;A30,'线索'!$B$5:$B$54,"&lt;="&amp;B30))</x:f>
        <x:v>0</x:v>
      </x:c>
      <x:c r="D30" s="243" t="n">
        <x:f>IF(A30="","",COUNTIFS('线索'!$B$5:$B$54,"&gt;="&amp;A30,'线索'!$B$5:$B$54,"&lt;="&amp;B30,'线索'!$L$5:$L$54,"&lt;&gt;新线索",'线索'!$L$5:$L$54,"&lt;&gt;未成交",'线索'!$L$5:$L$54,"&lt;&gt;暂停",'线索'!$L$5:$L$54,"&lt;&gt;"))</x:f>
        <x:v>0</x:v>
      </x:c>
      <x:c r="E30" s="243" t="n">
        <x:f>IF(A30="","",COUNTIFS('报价'!$C$5:$C$54,"&gt;="&amp;A30,'报价'!$C$5:$C$54,"&lt;="&amp;B30))</x:f>
        <x:v>0</x:v>
      </x:c>
      <x:c r="F30" s="243" t="n">
        <x:f>IF(A30="","",COUNTIFS('报价'!$Q$5:$Q$54,"&gt;="&amp;A30,'报价'!$Q$5:$Q$54,"&lt;="&amp;B30))</x:f>
        <x:v>0</x:v>
      </x:c>
      <x:c r="G30" s="234" t="n">
        <x:f>IF(A30="","",SUMIFS('现金流水'!$H$5:$H$104,'现金流水'!$A$5:$A$104,"&gt;="&amp;A30,'现金流水'!$A$5:$A$104,"&lt;="&amp;B30,'现金流水'!$B$5:$B$104,"收入",'现金流水'!$J$5:$J$104,"已到账"))</x:f>
        <x:v>0</x:v>
      </x:c>
      <x:c r="H30" s="234" t="n">
        <x:f>IF(A30="","",SUMIFS('现金流水'!$H$5:$H$104,'现金流水'!$A$5:$A$104,"&gt;="&amp;A30,'现金流水'!$A$5:$A$104,"&lt;="&amp;B30,'现金流水'!$B$5:$B$104,"直接成本",'现金流水'!$J$5:$J$104,"已支付")+SUMIFS('现金流水'!$H$5:$H$104,'现金流水'!$A$5:$A$104,"&gt;="&amp;A30,'现金流水'!$A$5:$A$104,"&lt;="&amp;B30,'现金流水'!$B$5:$B$104,"固定成本",'现金流水'!$J$5:$J$104,"已支付")+SUMIFS('现金流水'!$H$5:$H$104,'现金流水'!$A$5:$A$104,"&gt;="&amp;A30,'现金流水'!$A$5:$A$104,"&lt;="&amp;B30,'现金流水'!$B$5:$B$104,"退款",'现金流水'!$J$5:$J$104,"已支付"))</x:f>
        <x:v>0</x:v>
      </x:c>
      <x:c r="I30" s="234" t="n">
        <x:f>IF(A30="","",G30-H30)</x:f>
        <x:v>0</x:v>
      </x:c>
      <x:c r="J30" s="234" t="n">
        <x:f>IF(A30="","",'说明与目标'!$B$14+SUM($I$18:I30))</x:f>
        <x:v>0</x:v>
      </x:c>
      <x:c r="K30" s="234" t="n">
        <x:f>IF(A30="","",ROUND('说明与目标'!$B$8*MIN(1,MAX(0,(B30-'说明与目标'!$B$13)/('说明与目标'!$B$7-'说明与目标'!$B$13))),0))</x:f>
        <x:v>68702</x:v>
      </x:c>
      <x:c r="L30" s="234" t="n">
        <x:f>IF(A30="","",ROUND(J30-K30,0))</x:f>
        <x:v>-68702</x:v>
      </x:c>
      <x:c r="M30" s="174"/>
      <x:c r="N30" s="174" t="str">
        <x:f>TEXT(A30,"yyyy-mm-dd")</x:f>
        <x:v>2026-11-14</x:v>
      </x:c>
      <x:c r="O30" s="174" t="n">
        <x:f>J30</x:f>
        <x:v>0</x:v>
      </x:c>
      <x:c r="P30" s="174" t="n">
        <x:f>K30</x:f>
        <x:v>68702</x:v>
      </x:c>
    </x:row>
    <x:row r="31">
      <x:c r="A31" s="200" t="n">
        <x:f>IF(A30="","",IF(A30+7&lt;='说明与目标'!$B$7,A30+7,""))</x:f>
        <x:v>46347</x:v>
      </x:c>
      <x:c r="B31" s="200" t="n">
        <x:f>IF(A31="","",MIN(A31+6,'说明与目标'!$B$7))</x:f>
        <x:v>46353</x:v>
      </x:c>
      <x:c r="C31" s="243" t="n">
        <x:f>IF(A31="","",COUNTIFS('线索'!$B$5:$B$54,"&gt;="&amp;A31,'线索'!$B$5:$B$54,"&lt;="&amp;B31))</x:f>
        <x:v>0</x:v>
      </x:c>
      <x:c r="D31" s="243" t="n">
        <x:f>IF(A31="","",COUNTIFS('线索'!$B$5:$B$54,"&gt;="&amp;A31,'线索'!$B$5:$B$54,"&lt;="&amp;B31,'线索'!$L$5:$L$54,"&lt;&gt;新线索",'线索'!$L$5:$L$54,"&lt;&gt;未成交",'线索'!$L$5:$L$54,"&lt;&gt;暂停",'线索'!$L$5:$L$54,"&lt;&gt;"))</x:f>
        <x:v>0</x:v>
      </x:c>
      <x:c r="E31" s="243" t="n">
        <x:f>IF(A31="","",COUNTIFS('报价'!$C$5:$C$54,"&gt;="&amp;A31,'报价'!$C$5:$C$54,"&lt;="&amp;B31))</x:f>
        <x:v>0</x:v>
      </x:c>
      <x:c r="F31" s="243" t="n">
        <x:f>IF(A31="","",COUNTIFS('报价'!$Q$5:$Q$54,"&gt;="&amp;A31,'报价'!$Q$5:$Q$54,"&lt;="&amp;B31))</x:f>
        <x:v>0</x:v>
      </x:c>
      <x:c r="G31" s="234" t="n">
        <x:f>IF(A31="","",SUMIFS('现金流水'!$H$5:$H$104,'现金流水'!$A$5:$A$104,"&gt;="&amp;A31,'现金流水'!$A$5:$A$104,"&lt;="&amp;B31,'现金流水'!$B$5:$B$104,"收入",'现金流水'!$J$5:$J$104,"已到账"))</x:f>
        <x:v>0</x:v>
      </x:c>
      <x:c r="H31" s="234" t="n">
        <x:f>IF(A31="","",SUMIFS('现金流水'!$H$5:$H$104,'现金流水'!$A$5:$A$104,"&gt;="&amp;A31,'现金流水'!$A$5:$A$104,"&lt;="&amp;B31,'现金流水'!$B$5:$B$104,"直接成本",'现金流水'!$J$5:$J$104,"已支付")+SUMIFS('现金流水'!$H$5:$H$104,'现金流水'!$A$5:$A$104,"&gt;="&amp;A31,'现金流水'!$A$5:$A$104,"&lt;="&amp;B31,'现金流水'!$B$5:$B$104,"固定成本",'现金流水'!$J$5:$J$104,"已支付")+SUMIFS('现金流水'!$H$5:$H$104,'现金流水'!$A$5:$A$104,"&gt;="&amp;A31,'现金流水'!$A$5:$A$104,"&lt;="&amp;B31,'现金流水'!$B$5:$B$104,"退款",'现金流水'!$J$5:$J$104,"已支付"))</x:f>
        <x:v>0</x:v>
      </x:c>
      <x:c r="I31" s="234" t="n">
        <x:f>IF(A31="","",G31-H31)</x:f>
        <x:v>0</x:v>
      </x:c>
      <x:c r="J31" s="234" t="n">
        <x:f>IF(A31="","",'说明与目标'!$B$14+SUM($I$18:I31))</x:f>
        <x:v>0</x:v>
      </x:c>
      <x:c r="K31" s="234" t="n">
        <x:f>IF(A31="","",ROUND('说明与目标'!$B$8*MIN(1,MAX(0,(B31-'说明与目标'!$B$13)/('说明与目标'!$B$7-'说明与目标'!$B$13))),0))</x:f>
        <x:v>74046</x:v>
      </x:c>
      <x:c r="L31" s="234" t="n">
        <x:f>IF(A31="","",ROUND(J31-K31,0))</x:f>
        <x:v>-74046</x:v>
      </x:c>
      <x:c r="M31" s="174"/>
      <x:c r="N31" s="174" t="str">
        <x:f>TEXT(A31,"yyyy-mm-dd")</x:f>
        <x:v>2026-11-21</x:v>
      </x:c>
      <x:c r="O31" s="174" t="n">
        <x:f>J31</x:f>
        <x:v>0</x:v>
      </x:c>
      <x:c r="P31" s="174" t="n">
        <x:f>K31</x:f>
        <x:v>74046</x:v>
      </x:c>
    </x:row>
    <x:row r="32">
      <x:c r="A32" s="200" t="n">
        <x:f>IF(A31="","",IF(A31+7&lt;='说明与目标'!$B$7,A31+7,""))</x:f>
        <x:v>46354</x:v>
      </x:c>
      <x:c r="B32" s="200" t="n">
        <x:f>IF(A32="","",MIN(A32+6,'说明与目标'!$B$7))</x:f>
        <x:v>46360</x:v>
      </x:c>
      <x:c r="C32" s="243" t="n">
        <x:f>IF(A32="","",COUNTIFS('线索'!$B$5:$B$54,"&gt;="&amp;A32,'线索'!$B$5:$B$54,"&lt;="&amp;B32))</x:f>
        <x:v>0</x:v>
      </x:c>
      <x:c r="D32" s="243" t="n">
        <x:f>IF(A32="","",COUNTIFS('线索'!$B$5:$B$54,"&gt;="&amp;A32,'线索'!$B$5:$B$54,"&lt;="&amp;B32,'线索'!$L$5:$L$54,"&lt;&gt;新线索",'线索'!$L$5:$L$54,"&lt;&gt;未成交",'线索'!$L$5:$L$54,"&lt;&gt;暂停",'线索'!$L$5:$L$54,"&lt;&gt;"))</x:f>
        <x:v>0</x:v>
      </x:c>
      <x:c r="E32" s="243" t="n">
        <x:f>IF(A32="","",COUNTIFS('报价'!$C$5:$C$54,"&gt;="&amp;A32,'报价'!$C$5:$C$54,"&lt;="&amp;B32))</x:f>
        <x:v>0</x:v>
      </x:c>
      <x:c r="F32" s="243" t="n">
        <x:f>IF(A32="","",COUNTIFS('报价'!$Q$5:$Q$54,"&gt;="&amp;A32,'报价'!$Q$5:$Q$54,"&lt;="&amp;B32))</x:f>
        <x:v>0</x:v>
      </x:c>
      <x:c r="G32" s="234" t="n">
        <x:f>IF(A32="","",SUMIFS('现金流水'!$H$5:$H$104,'现金流水'!$A$5:$A$104,"&gt;="&amp;A32,'现金流水'!$A$5:$A$104,"&lt;="&amp;B32,'现金流水'!$B$5:$B$104,"收入",'现金流水'!$J$5:$J$104,"已到账"))</x:f>
        <x:v>0</x:v>
      </x:c>
      <x:c r="H32" s="234" t="n">
        <x:f>IF(A32="","",SUMIFS('现金流水'!$H$5:$H$104,'现金流水'!$A$5:$A$104,"&gt;="&amp;A32,'现金流水'!$A$5:$A$104,"&lt;="&amp;B32,'现金流水'!$B$5:$B$104,"直接成本",'现金流水'!$J$5:$J$104,"已支付")+SUMIFS('现金流水'!$H$5:$H$104,'现金流水'!$A$5:$A$104,"&gt;="&amp;A32,'现金流水'!$A$5:$A$104,"&lt;="&amp;B32,'现金流水'!$B$5:$B$104,"固定成本",'现金流水'!$J$5:$J$104,"已支付")+SUMIFS('现金流水'!$H$5:$H$104,'现金流水'!$A$5:$A$104,"&gt;="&amp;A32,'现金流水'!$A$5:$A$104,"&lt;="&amp;B32,'现金流水'!$B$5:$B$104,"退款",'现金流水'!$J$5:$J$104,"已支付"))</x:f>
        <x:v>0</x:v>
      </x:c>
      <x:c r="I32" s="234" t="n">
        <x:f>IF(A32="","",G32-H32)</x:f>
        <x:v>0</x:v>
      </x:c>
      <x:c r="J32" s="234" t="n">
        <x:f>IF(A32="","",'说明与目标'!$B$14+SUM($I$18:I32))</x:f>
        <x:v>0</x:v>
      </x:c>
      <x:c r="K32" s="234" t="n">
        <x:f>IF(A32="","",ROUND('说明与目标'!$B$8*MIN(1,MAX(0,(B32-'说明与目标'!$B$13)/('说明与目标'!$B$7-'说明与目标'!$B$13))),0))</x:f>
        <x:v>79389</x:v>
      </x:c>
      <x:c r="L32" s="234" t="n">
        <x:f>IF(A32="","",ROUND(J32-K32,0))</x:f>
        <x:v>-79389</x:v>
      </x:c>
      <x:c r="M32" s="174"/>
      <x:c r="N32" s="174" t="str">
        <x:f>TEXT(A32,"yyyy-mm-dd")</x:f>
        <x:v>2026-11-28</x:v>
      </x:c>
      <x:c r="O32" s="174" t="n">
        <x:f>J32</x:f>
        <x:v>0</x:v>
      </x:c>
      <x:c r="P32" s="174" t="n">
        <x:f>K32</x:f>
        <x:v>79389</x:v>
      </x:c>
    </x:row>
    <x:row r="33">
      <x:c r="A33" s="200" t="n">
        <x:f>IF(A32="","",IF(A32+7&lt;='说明与目标'!$B$7,A32+7,""))</x:f>
        <x:v>46361</x:v>
      </x:c>
      <x:c r="B33" s="200" t="n">
        <x:f>IF(A33="","",MIN(A33+6,'说明与目标'!$B$7))</x:f>
        <x:v>46367</x:v>
      </x:c>
      <x:c r="C33" s="243" t="n">
        <x:f>IF(A33="","",COUNTIFS('线索'!$B$5:$B$54,"&gt;="&amp;A33,'线索'!$B$5:$B$54,"&lt;="&amp;B33))</x:f>
        <x:v>0</x:v>
      </x:c>
      <x:c r="D33" s="243" t="n">
        <x:f>IF(A33="","",COUNTIFS('线索'!$B$5:$B$54,"&gt;="&amp;A33,'线索'!$B$5:$B$54,"&lt;="&amp;B33,'线索'!$L$5:$L$54,"&lt;&gt;新线索",'线索'!$L$5:$L$54,"&lt;&gt;未成交",'线索'!$L$5:$L$54,"&lt;&gt;暂停",'线索'!$L$5:$L$54,"&lt;&gt;"))</x:f>
        <x:v>0</x:v>
      </x:c>
      <x:c r="E33" s="243" t="n">
        <x:f>IF(A33="","",COUNTIFS('报价'!$C$5:$C$54,"&gt;="&amp;A33,'报价'!$C$5:$C$54,"&lt;="&amp;B33))</x:f>
        <x:v>0</x:v>
      </x:c>
      <x:c r="F33" s="243" t="n">
        <x:f>IF(A33="","",COUNTIFS('报价'!$Q$5:$Q$54,"&gt;="&amp;A33,'报价'!$Q$5:$Q$54,"&lt;="&amp;B33))</x:f>
        <x:v>0</x:v>
      </x:c>
      <x:c r="G33" s="234" t="n">
        <x:f>IF(A33="","",SUMIFS('现金流水'!$H$5:$H$104,'现金流水'!$A$5:$A$104,"&gt;="&amp;A33,'现金流水'!$A$5:$A$104,"&lt;="&amp;B33,'现金流水'!$B$5:$B$104,"收入",'现金流水'!$J$5:$J$104,"已到账"))</x:f>
        <x:v>0</x:v>
      </x:c>
      <x:c r="H33" s="234" t="n">
        <x:f>IF(A33="","",SUMIFS('现金流水'!$H$5:$H$104,'现金流水'!$A$5:$A$104,"&gt;="&amp;A33,'现金流水'!$A$5:$A$104,"&lt;="&amp;B33,'现金流水'!$B$5:$B$104,"直接成本",'现金流水'!$J$5:$J$104,"已支付")+SUMIFS('现金流水'!$H$5:$H$104,'现金流水'!$A$5:$A$104,"&gt;="&amp;A33,'现金流水'!$A$5:$A$104,"&lt;="&amp;B33,'现金流水'!$B$5:$B$104,"固定成本",'现金流水'!$J$5:$J$104,"已支付")+SUMIFS('现金流水'!$H$5:$H$104,'现金流水'!$A$5:$A$104,"&gt;="&amp;A33,'现金流水'!$A$5:$A$104,"&lt;="&amp;B33,'现金流水'!$B$5:$B$104,"退款",'现金流水'!$J$5:$J$104,"已支付"))</x:f>
        <x:v>0</x:v>
      </x:c>
      <x:c r="I33" s="234" t="n">
        <x:f>IF(A33="","",G33-H33)</x:f>
        <x:v>0</x:v>
      </x:c>
      <x:c r="J33" s="234" t="n">
        <x:f>IF(A33="","",'说明与目标'!$B$14+SUM($I$18:I33))</x:f>
        <x:v>0</x:v>
      </x:c>
      <x:c r="K33" s="234" t="n">
        <x:f>IF(A33="","",ROUND('说明与目标'!$B$8*MIN(1,MAX(0,(B33-'说明与目标'!$B$13)/('说明与目标'!$B$7-'说明与目标'!$B$13))),0))</x:f>
        <x:v>84733</x:v>
      </x:c>
      <x:c r="L33" s="234" t="n">
        <x:f>IF(A33="","",ROUND(J33-K33,0))</x:f>
        <x:v>-84733</x:v>
      </x:c>
      <x:c r="M33" s="174"/>
      <x:c r="N33" s="174" t="str">
        <x:f>TEXT(A33,"yyyy-mm-dd")</x:f>
        <x:v>2026-12-05</x:v>
      </x:c>
      <x:c r="O33" s="174" t="n">
        <x:f>J33</x:f>
        <x:v>0</x:v>
      </x:c>
      <x:c r="P33" s="174" t="n">
        <x:f>K33</x:f>
        <x:v>84733</x:v>
      </x:c>
    </x:row>
    <x:row r="34">
      <x:c r="A34" s="200" t="n">
        <x:f>IF(A33="","",IF(A33+7&lt;='说明与目标'!$B$7,A33+7,""))</x:f>
        <x:v>46368</x:v>
      </x:c>
      <x:c r="B34" s="200" t="n">
        <x:f>IF(A34="","",MIN(A34+6,'说明与目标'!$B$7))</x:f>
        <x:v>46374</x:v>
      </x:c>
      <x:c r="C34" s="243" t="n">
        <x:f>IF(A34="","",COUNTIFS('线索'!$B$5:$B$54,"&gt;="&amp;A34,'线索'!$B$5:$B$54,"&lt;="&amp;B34))</x:f>
        <x:v>0</x:v>
      </x:c>
      <x:c r="D34" s="243" t="n">
        <x:f>IF(A34="","",COUNTIFS('线索'!$B$5:$B$54,"&gt;="&amp;A34,'线索'!$B$5:$B$54,"&lt;="&amp;B34,'线索'!$L$5:$L$54,"&lt;&gt;新线索",'线索'!$L$5:$L$54,"&lt;&gt;未成交",'线索'!$L$5:$L$54,"&lt;&gt;暂停",'线索'!$L$5:$L$54,"&lt;&gt;"))</x:f>
        <x:v>0</x:v>
      </x:c>
      <x:c r="E34" s="243" t="n">
        <x:f>IF(A34="","",COUNTIFS('报价'!$C$5:$C$54,"&gt;="&amp;A34,'报价'!$C$5:$C$54,"&lt;="&amp;B34))</x:f>
        <x:v>0</x:v>
      </x:c>
      <x:c r="F34" s="243" t="n">
        <x:f>IF(A34="","",COUNTIFS('报价'!$Q$5:$Q$54,"&gt;="&amp;A34,'报价'!$Q$5:$Q$54,"&lt;="&amp;B34))</x:f>
        <x:v>0</x:v>
      </x:c>
      <x:c r="G34" s="234" t="n">
        <x:f>IF(A34="","",SUMIFS('现金流水'!$H$5:$H$104,'现金流水'!$A$5:$A$104,"&gt;="&amp;A34,'现金流水'!$A$5:$A$104,"&lt;="&amp;B34,'现金流水'!$B$5:$B$104,"收入",'现金流水'!$J$5:$J$104,"已到账"))</x:f>
        <x:v>0</x:v>
      </x:c>
      <x:c r="H34" s="234" t="n">
        <x:f>IF(A34="","",SUMIFS('现金流水'!$H$5:$H$104,'现金流水'!$A$5:$A$104,"&gt;="&amp;A34,'现金流水'!$A$5:$A$104,"&lt;="&amp;B34,'现金流水'!$B$5:$B$104,"直接成本",'现金流水'!$J$5:$J$104,"已支付")+SUMIFS('现金流水'!$H$5:$H$104,'现金流水'!$A$5:$A$104,"&gt;="&amp;A34,'现金流水'!$A$5:$A$104,"&lt;="&amp;B34,'现金流水'!$B$5:$B$104,"固定成本",'现金流水'!$J$5:$J$104,"已支付")+SUMIFS('现金流水'!$H$5:$H$104,'现金流水'!$A$5:$A$104,"&gt;="&amp;A34,'现金流水'!$A$5:$A$104,"&lt;="&amp;B34,'现金流水'!$B$5:$B$104,"退款",'现金流水'!$J$5:$J$104,"已支付"))</x:f>
        <x:v>0</x:v>
      </x:c>
      <x:c r="I34" s="234" t="n">
        <x:f>IF(A34="","",G34-H34)</x:f>
        <x:v>0</x:v>
      </x:c>
      <x:c r="J34" s="234" t="n">
        <x:f>IF(A34="","",'说明与目标'!$B$14+SUM($I$18:I34))</x:f>
        <x:v>0</x:v>
      </x:c>
      <x:c r="K34" s="234" t="n">
        <x:f>IF(A34="","",ROUND('说明与目标'!$B$8*MIN(1,MAX(0,(B34-'说明与目标'!$B$13)/('说明与目标'!$B$7-'说明与目标'!$B$13))),0))</x:f>
        <x:v>90076</x:v>
      </x:c>
      <x:c r="L34" s="234" t="n">
        <x:f>IF(A34="","",ROUND(J34-K34,0))</x:f>
        <x:v>-90076</x:v>
      </x:c>
      <x:c r="M34" s="174"/>
      <x:c r="N34" s="174" t="str">
        <x:f>TEXT(A34,"yyyy-mm-dd")</x:f>
        <x:v>2026-12-12</x:v>
      </x:c>
      <x:c r="O34" s="174" t="n">
        <x:f>J34</x:f>
        <x:v>0</x:v>
      </x:c>
      <x:c r="P34" s="174" t="n">
        <x:f>K34</x:f>
        <x:v>90076</x:v>
      </x:c>
    </x:row>
    <x:row r="35">
      <x:c r="A35" s="200" t="n">
        <x:f>IF(A34="","",IF(A34+7&lt;='说明与目标'!$B$7,A34+7,""))</x:f>
        <x:v>46375</x:v>
      </x:c>
      <x:c r="B35" s="200" t="n">
        <x:f>IF(A35="","",MIN(A35+6,'说明与目标'!$B$7))</x:f>
        <x:v>46381</x:v>
      </x:c>
      <x:c r="C35" s="243" t="n">
        <x:f>IF(A35="","",COUNTIFS('线索'!$B$5:$B$54,"&gt;="&amp;A35,'线索'!$B$5:$B$54,"&lt;="&amp;B35))</x:f>
        <x:v>0</x:v>
      </x:c>
      <x:c r="D35" s="243" t="n">
        <x:f>IF(A35="","",COUNTIFS('线索'!$B$5:$B$54,"&gt;="&amp;A35,'线索'!$B$5:$B$54,"&lt;="&amp;B35,'线索'!$L$5:$L$54,"&lt;&gt;新线索",'线索'!$L$5:$L$54,"&lt;&gt;未成交",'线索'!$L$5:$L$54,"&lt;&gt;暂停",'线索'!$L$5:$L$54,"&lt;&gt;"))</x:f>
        <x:v>0</x:v>
      </x:c>
      <x:c r="E35" s="243" t="n">
        <x:f>IF(A35="","",COUNTIFS('报价'!$C$5:$C$54,"&gt;="&amp;A35,'报价'!$C$5:$C$54,"&lt;="&amp;B35))</x:f>
        <x:v>0</x:v>
      </x:c>
      <x:c r="F35" s="243" t="n">
        <x:f>IF(A35="","",COUNTIFS('报价'!$Q$5:$Q$54,"&gt;="&amp;A35,'报价'!$Q$5:$Q$54,"&lt;="&amp;B35))</x:f>
        <x:v>0</x:v>
      </x:c>
      <x:c r="G35" s="234" t="n">
        <x:f>IF(A35="","",SUMIFS('现金流水'!$H$5:$H$104,'现金流水'!$A$5:$A$104,"&gt;="&amp;A35,'现金流水'!$A$5:$A$104,"&lt;="&amp;B35,'现金流水'!$B$5:$B$104,"收入",'现金流水'!$J$5:$J$104,"已到账"))</x:f>
        <x:v>0</x:v>
      </x:c>
      <x:c r="H35" s="234" t="n">
        <x:f>IF(A35="","",SUMIFS('现金流水'!$H$5:$H$104,'现金流水'!$A$5:$A$104,"&gt;="&amp;A35,'现金流水'!$A$5:$A$104,"&lt;="&amp;B35,'现金流水'!$B$5:$B$104,"直接成本",'现金流水'!$J$5:$J$104,"已支付")+SUMIFS('现金流水'!$H$5:$H$104,'现金流水'!$A$5:$A$104,"&gt;="&amp;A35,'现金流水'!$A$5:$A$104,"&lt;="&amp;B35,'现金流水'!$B$5:$B$104,"固定成本",'现金流水'!$J$5:$J$104,"已支付")+SUMIFS('现金流水'!$H$5:$H$104,'现金流水'!$A$5:$A$104,"&gt;="&amp;A35,'现金流水'!$A$5:$A$104,"&lt;="&amp;B35,'现金流水'!$B$5:$B$104,"退款",'现金流水'!$J$5:$J$104,"已支付"))</x:f>
        <x:v>0</x:v>
      </x:c>
      <x:c r="I35" s="234" t="n">
        <x:f>IF(A35="","",G35-H35)</x:f>
        <x:v>0</x:v>
      </x:c>
      <x:c r="J35" s="234" t="n">
        <x:f>IF(A35="","",'说明与目标'!$B$14+SUM($I$18:I35))</x:f>
        <x:v>0</x:v>
      </x:c>
      <x:c r="K35" s="234" t="n">
        <x:f>IF(A35="","",ROUND('说明与目标'!$B$8*MIN(1,MAX(0,(B35-'说明与目标'!$B$13)/('说明与目标'!$B$7-'说明与目标'!$B$13))),0))</x:f>
        <x:v>95420</x:v>
      </x:c>
      <x:c r="L35" s="234" t="n">
        <x:f>IF(A35="","",ROUND(J35-K35,0))</x:f>
        <x:v>-95420</x:v>
      </x:c>
      <x:c r="M35" s="174"/>
      <x:c r="N35" s="174" t="str">
        <x:f>TEXT(A35,"yyyy-mm-dd")</x:f>
        <x:v>2026-12-19</x:v>
      </x:c>
      <x:c r="O35" s="174" t="n">
        <x:f>J35</x:f>
        <x:v>0</x:v>
      </x:c>
      <x:c r="P35" s="174" t="n">
        <x:f>K35</x:f>
        <x:v>95420</x:v>
      </x:c>
    </x:row>
    <x:row r="36">
      <x:c r="A36" s="200" t="n">
        <x:f>IF(A35="","",IF(A35+7&lt;='说明与目标'!$B$7,A35+7,""))</x:f>
        <x:v>46382</x:v>
      </x:c>
      <x:c r="B36" s="200" t="n">
        <x:f>IF(A36="","",MIN(A36+6,'说明与目标'!$B$7))</x:f>
        <x:v>46387</x:v>
      </x:c>
      <x:c r="C36" s="243" t="n">
        <x:f>IF(A36="","",COUNTIFS('线索'!$B$5:$B$54,"&gt;="&amp;A36,'线索'!$B$5:$B$54,"&lt;="&amp;B36))</x:f>
        <x:v>0</x:v>
      </x:c>
      <x:c r="D36" s="243" t="n">
        <x:f>IF(A36="","",COUNTIFS('线索'!$B$5:$B$54,"&gt;="&amp;A36,'线索'!$B$5:$B$54,"&lt;="&amp;B36,'线索'!$L$5:$L$54,"&lt;&gt;新线索",'线索'!$L$5:$L$54,"&lt;&gt;未成交",'线索'!$L$5:$L$54,"&lt;&gt;暂停",'线索'!$L$5:$L$54,"&lt;&gt;"))</x:f>
        <x:v>0</x:v>
      </x:c>
      <x:c r="E36" s="243" t="n">
        <x:f>IF(A36="","",COUNTIFS('报价'!$C$5:$C$54,"&gt;="&amp;A36,'报价'!$C$5:$C$54,"&lt;="&amp;B36))</x:f>
        <x:v>0</x:v>
      </x:c>
      <x:c r="F36" s="243" t="n">
        <x:f>IF(A36="","",COUNTIFS('报价'!$Q$5:$Q$54,"&gt;="&amp;A36,'报价'!$Q$5:$Q$54,"&lt;="&amp;B36))</x:f>
        <x:v>0</x:v>
      </x:c>
      <x:c r="G36" s="234" t="n">
        <x:f>IF(A36="","",SUMIFS('现金流水'!$H$5:$H$104,'现金流水'!$A$5:$A$104,"&gt;="&amp;A36,'现金流水'!$A$5:$A$104,"&lt;="&amp;B36,'现金流水'!$B$5:$B$104,"收入",'现金流水'!$J$5:$J$104,"已到账"))</x:f>
        <x:v>0</x:v>
      </x:c>
      <x:c r="H36" s="234" t="n">
        <x:f>IF(A36="","",SUMIFS('现金流水'!$H$5:$H$104,'现金流水'!$A$5:$A$104,"&gt;="&amp;A36,'现金流水'!$A$5:$A$104,"&lt;="&amp;B36,'现金流水'!$B$5:$B$104,"直接成本",'现金流水'!$J$5:$J$104,"已支付")+SUMIFS('现金流水'!$H$5:$H$104,'现金流水'!$A$5:$A$104,"&gt;="&amp;A36,'现金流水'!$A$5:$A$104,"&lt;="&amp;B36,'现金流水'!$B$5:$B$104,"固定成本",'现金流水'!$J$5:$J$104,"已支付")+SUMIFS('现金流水'!$H$5:$H$104,'现金流水'!$A$5:$A$104,"&gt;="&amp;A36,'现金流水'!$A$5:$A$104,"&lt;="&amp;B36,'现金流水'!$B$5:$B$104,"退款",'现金流水'!$J$5:$J$104,"已支付"))</x:f>
        <x:v>0</x:v>
      </x:c>
      <x:c r="I36" s="234" t="n">
        <x:f>IF(A36="","",G36-H36)</x:f>
        <x:v>0</x:v>
      </x:c>
      <x:c r="J36" s="234" t="n">
        <x:f>IF(A36="","",'说明与目标'!$B$14+SUM($I$18:I36))</x:f>
        <x:v>0</x:v>
      </x:c>
      <x:c r="K36" s="234" t="n">
        <x:f>IF(A36="","",ROUND('说明与目标'!$B$8*MIN(1,MAX(0,(B36-'说明与目标'!$B$13)/('说明与目标'!$B$7-'说明与目标'!$B$13))),0))</x:f>
        <x:v>100000</x:v>
      </x:c>
      <x:c r="L36" s="234" t="n">
        <x:f>IF(A36="","",ROUND(J36-K36,0))</x:f>
        <x:v>-100000</x:v>
      </x:c>
      <x:c r="M36" s="174"/>
      <x:c r="N36" s="174" t="str">
        <x:f>TEXT(A36,"yyyy-mm-dd")</x:f>
        <x:v>2026-12-26</x:v>
      </x:c>
      <x:c r="O36" s="174" t="n">
        <x:f>J36</x:f>
        <x:v>0</x:v>
      </x:c>
      <x:c r="P36" s="174" t="n">
        <x:f>K36</x:f>
        <x:v>100000</x:v>
      </x:c>
    </x:row>
    <x:row r="37">
      <x:c r="A37" s="200" t="str">
        <x:f>IF(A36="","",IF(A36+7&lt;='说明与目标'!$B$7,A36+7,""))</x:f>
      </x:c>
      <x:c r="B37" s="200" t="str">
        <x:f>IF(A37="","",MIN(A37+6,'说明与目标'!$B$7))</x:f>
      </x:c>
      <x:c r="C37" s="243" t="str">
        <x:f>IF(A37="","",COUNTIFS('线索'!$B$5:$B$54,"&gt;="&amp;A37,'线索'!$B$5:$B$54,"&lt;="&amp;B37))</x:f>
      </x:c>
      <x:c r="D37" s="243" t="str">
        <x:f>IF(A37="","",COUNTIFS('线索'!$B$5:$B$54,"&gt;="&amp;A37,'线索'!$B$5:$B$54,"&lt;="&amp;B37,'线索'!$L$5:$L$54,"&lt;&gt;新线索",'线索'!$L$5:$L$54,"&lt;&gt;未成交",'线索'!$L$5:$L$54,"&lt;&gt;暂停",'线索'!$L$5:$L$54,"&lt;&gt;"))</x:f>
      </x:c>
      <x:c r="E37" s="243" t="str">
        <x:f>IF(A37="","",COUNTIFS('报价'!$C$5:$C$54,"&gt;="&amp;A37,'报价'!$C$5:$C$54,"&lt;="&amp;B37))</x:f>
      </x:c>
      <x:c r="F37" s="243" t="str">
        <x:f>IF(A37="","",COUNTIFS('报价'!$Q$5:$Q$54,"&gt;="&amp;A37,'报价'!$Q$5:$Q$54,"&lt;="&amp;B37))</x:f>
      </x:c>
      <x:c r="G37" s="234" t="str">
        <x:f>IF(A37="","",SUMIFS('现金流水'!$H$5:$H$104,'现金流水'!$A$5:$A$104,"&gt;="&amp;A37,'现金流水'!$A$5:$A$104,"&lt;="&amp;B37,'现金流水'!$B$5:$B$104,"收入",'现金流水'!$J$5:$J$104,"已到账"))</x:f>
      </x:c>
      <x:c r="H37" s="234" t="str">
        <x:f>IF(A37="","",SUMIFS('现金流水'!$H$5:$H$104,'现金流水'!$A$5:$A$104,"&gt;="&amp;A37,'现金流水'!$A$5:$A$104,"&lt;="&amp;B37,'现金流水'!$B$5:$B$104,"直接成本",'现金流水'!$J$5:$J$104,"已支付")+SUMIFS('现金流水'!$H$5:$H$104,'现金流水'!$A$5:$A$104,"&gt;="&amp;A37,'现金流水'!$A$5:$A$104,"&lt;="&amp;B37,'现金流水'!$B$5:$B$104,"固定成本",'现金流水'!$J$5:$J$104,"已支付")+SUMIFS('现金流水'!$H$5:$H$104,'现金流水'!$A$5:$A$104,"&gt;="&amp;A37,'现金流水'!$A$5:$A$104,"&lt;="&amp;B37,'现金流水'!$B$5:$B$104,"退款",'现金流水'!$J$5:$J$104,"已支付"))</x:f>
      </x:c>
      <x:c r="I37" s="234" t="str">
        <x:f>IF(A37="","",G37-H37)</x:f>
      </x:c>
      <x:c r="J37" s="234" t="str">
        <x:f>IF(A37="","",'说明与目标'!$B$14+SUM($I$18:I37))</x:f>
      </x:c>
      <x:c r="K37" s="234" t="str">
        <x:f>IF(A37="","",ROUND('说明与目标'!$B$8*MIN(1,MAX(0,(B37-'说明与目标'!$B$13)/('说明与目标'!$B$7-'说明与目标'!$B$13))),0))</x:f>
      </x:c>
      <x:c r="L37" s="234" t="str">
        <x:f>IF(A37="","",ROUND(J37-K37,0))</x:f>
      </x:c>
      <x:c r="M37" s="174"/>
      <x:c r="N37" s="174"/>
      <x:c r="O37" s="174"/>
      <x:c r="P37" s="174"/>
    </x:row>
    <x:row r="38">
      <x:c r="A38" s="200" t="str">
        <x:f>IF(A37="","",IF(A37+7&lt;='说明与目标'!$B$7,A37+7,""))</x:f>
      </x:c>
      <x:c r="B38" s="200" t="str">
        <x:f>IF(A38="","",MIN(A38+6,'说明与目标'!$B$7))</x:f>
      </x:c>
      <x:c r="C38" s="243" t="str">
        <x:f>IF(A38="","",COUNTIFS('线索'!$B$5:$B$54,"&gt;="&amp;A38,'线索'!$B$5:$B$54,"&lt;="&amp;B38))</x:f>
      </x:c>
      <x:c r="D38" s="243" t="str">
        <x:f>IF(A38="","",COUNTIFS('线索'!$B$5:$B$54,"&gt;="&amp;A38,'线索'!$B$5:$B$54,"&lt;="&amp;B38,'线索'!$L$5:$L$54,"&lt;&gt;新线索",'线索'!$L$5:$L$54,"&lt;&gt;未成交",'线索'!$L$5:$L$54,"&lt;&gt;暂停",'线索'!$L$5:$L$54,"&lt;&gt;"))</x:f>
      </x:c>
      <x:c r="E38" s="243" t="str">
        <x:f>IF(A38="","",COUNTIFS('报价'!$C$5:$C$54,"&gt;="&amp;A38,'报价'!$C$5:$C$54,"&lt;="&amp;B38))</x:f>
      </x:c>
      <x:c r="F38" s="243" t="str">
        <x:f>IF(A38="","",COUNTIFS('报价'!$Q$5:$Q$54,"&gt;="&amp;A38,'报价'!$Q$5:$Q$54,"&lt;="&amp;B38))</x:f>
      </x:c>
      <x:c r="G38" s="234" t="str">
        <x:f>IF(A38="","",SUMIFS('现金流水'!$H$5:$H$104,'现金流水'!$A$5:$A$104,"&gt;="&amp;A38,'现金流水'!$A$5:$A$104,"&lt;="&amp;B38,'现金流水'!$B$5:$B$104,"收入",'现金流水'!$J$5:$J$104,"已到账"))</x:f>
      </x:c>
      <x:c r="H38" s="234" t="str">
        <x:f>IF(A38="","",SUMIFS('现金流水'!$H$5:$H$104,'现金流水'!$A$5:$A$104,"&gt;="&amp;A38,'现金流水'!$A$5:$A$104,"&lt;="&amp;B38,'现金流水'!$B$5:$B$104,"直接成本",'现金流水'!$J$5:$J$104,"已支付")+SUMIFS('现金流水'!$H$5:$H$104,'现金流水'!$A$5:$A$104,"&gt;="&amp;A38,'现金流水'!$A$5:$A$104,"&lt;="&amp;B38,'现金流水'!$B$5:$B$104,"固定成本",'现金流水'!$J$5:$J$104,"已支付")+SUMIFS('现金流水'!$H$5:$H$104,'现金流水'!$A$5:$A$104,"&gt;="&amp;A38,'现金流水'!$A$5:$A$104,"&lt;="&amp;B38,'现金流水'!$B$5:$B$104,"退款",'现金流水'!$J$5:$J$104,"已支付"))</x:f>
      </x:c>
      <x:c r="I38" s="234" t="str">
        <x:f>IF(A38="","",G38-H38)</x:f>
      </x:c>
      <x:c r="J38" s="234" t="str">
        <x:f>IF(A38="","",'说明与目标'!$B$14+SUM($I$18:I38))</x:f>
      </x:c>
      <x:c r="K38" s="234" t="str">
        <x:f>IF(A38="","",ROUND('说明与目标'!$B$8*MIN(1,MAX(0,(B38-'说明与目标'!$B$13)/('说明与目标'!$B$7-'说明与目标'!$B$13))),0))</x:f>
      </x:c>
      <x:c r="L38" s="234" t="str">
        <x:f>IF(A38="","",ROUND(J38-K38,0))</x:f>
      </x:c>
      <x:c r="M38" s="174"/>
      <x:c r="N38" s="174"/>
      <x:c r="O38" s="174"/>
      <x:c r="P38" s="174"/>
    </x:row>
    <x:row r="39">
      <x:c r="A39" s="200" t="str">
        <x:f>IF(A38="","",IF(A38+7&lt;='说明与目标'!$B$7,A38+7,""))</x:f>
      </x:c>
      <x:c r="B39" s="200" t="str">
        <x:f>IF(A39="","",MIN(A39+6,'说明与目标'!$B$7))</x:f>
      </x:c>
      <x:c r="C39" s="243" t="str">
        <x:f>IF(A39="","",COUNTIFS('线索'!$B$5:$B$54,"&gt;="&amp;A39,'线索'!$B$5:$B$54,"&lt;="&amp;B39))</x:f>
      </x:c>
      <x:c r="D39" s="243" t="str">
        <x:f>IF(A39="","",COUNTIFS('线索'!$B$5:$B$54,"&gt;="&amp;A39,'线索'!$B$5:$B$54,"&lt;="&amp;B39,'线索'!$L$5:$L$54,"&lt;&gt;新线索",'线索'!$L$5:$L$54,"&lt;&gt;未成交",'线索'!$L$5:$L$54,"&lt;&gt;暂停",'线索'!$L$5:$L$54,"&lt;&gt;"))</x:f>
      </x:c>
      <x:c r="E39" s="243" t="str">
        <x:f>IF(A39="","",COUNTIFS('报价'!$C$5:$C$54,"&gt;="&amp;A39,'报价'!$C$5:$C$54,"&lt;="&amp;B39))</x:f>
      </x:c>
      <x:c r="F39" s="243" t="str">
        <x:f>IF(A39="","",COUNTIFS('报价'!$Q$5:$Q$54,"&gt;="&amp;A39,'报价'!$Q$5:$Q$54,"&lt;="&amp;B39))</x:f>
      </x:c>
      <x:c r="G39" s="234" t="str">
        <x:f>IF(A39="","",SUMIFS('现金流水'!$H$5:$H$104,'现金流水'!$A$5:$A$104,"&gt;="&amp;A39,'现金流水'!$A$5:$A$104,"&lt;="&amp;B39,'现金流水'!$B$5:$B$104,"收入",'现金流水'!$J$5:$J$104,"已到账"))</x:f>
      </x:c>
      <x:c r="H39" s="234" t="str">
        <x:f>IF(A39="","",SUMIFS('现金流水'!$H$5:$H$104,'现金流水'!$A$5:$A$104,"&gt;="&amp;A39,'现金流水'!$A$5:$A$104,"&lt;="&amp;B39,'现金流水'!$B$5:$B$104,"直接成本",'现金流水'!$J$5:$J$104,"已支付")+SUMIFS('现金流水'!$H$5:$H$104,'现金流水'!$A$5:$A$104,"&gt;="&amp;A39,'现金流水'!$A$5:$A$104,"&lt;="&amp;B39,'现金流水'!$B$5:$B$104,"固定成本",'现金流水'!$J$5:$J$104,"已支付")+SUMIFS('现金流水'!$H$5:$H$104,'现金流水'!$A$5:$A$104,"&gt;="&amp;A39,'现金流水'!$A$5:$A$104,"&lt;="&amp;B39,'现金流水'!$B$5:$B$104,"退款",'现金流水'!$J$5:$J$104,"已支付"))</x:f>
      </x:c>
      <x:c r="I39" s="234" t="str">
        <x:f>IF(A39="","",G39-H39)</x:f>
      </x:c>
      <x:c r="J39" s="234" t="str">
        <x:f>IF(A39="","",'说明与目标'!$B$14+SUM($I$18:I39))</x:f>
      </x:c>
      <x:c r="K39" s="234" t="str">
        <x:f>IF(A39="","",ROUND('说明与目标'!$B$8*MIN(1,MAX(0,(B39-'说明与目标'!$B$13)/('说明与目标'!$B$7-'说明与目标'!$B$13))),0))</x:f>
      </x:c>
      <x:c r="L39" s="234" t="str">
        <x:f>IF(A39="","",ROUND(J39-K39,0))</x:f>
      </x:c>
      <x:c r="M39" s="174"/>
      <x:c r="N39" s="174"/>
      <x:c r="O39" s="174"/>
      <x:c r="P39" s="174"/>
    </x:row>
    <x:row r="40">
      <x:c r="A40" s="200" t="str">
        <x:f>IF(A39="","",IF(A39+7&lt;='说明与目标'!$B$7,A39+7,""))</x:f>
      </x:c>
      <x:c r="B40" s="200" t="str">
        <x:f>IF(A40="","",MIN(A40+6,'说明与目标'!$B$7))</x:f>
      </x:c>
      <x:c r="C40" s="243" t="str">
        <x:f>IF(A40="","",COUNTIFS('线索'!$B$5:$B$54,"&gt;="&amp;A40,'线索'!$B$5:$B$54,"&lt;="&amp;B40))</x:f>
      </x:c>
      <x:c r="D40" s="243" t="str">
        <x:f>IF(A40="","",COUNTIFS('线索'!$B$5:$B$54,"&gt;="&amp;A40,'线索'!$B$5:$B$54,"&lt;="&amp;B40,'线索'!$L$5:$L$54,"&lt;&gt;新线索",'线索'!$L$5:$L$54,"&lt;&gt;未成交",'线索'!$L$5:$L$54,"&lt;&gt;暂停",'线索'!$L$5:$L$54,"&lt;&gt;"))</x:f>
      </x:c>
      <x:c r="E40" s="243" t="str">
        <x:f>IF(A40="","",COUNTIFS('报价'!$C$5:$C$54,"&gt;="&amp;A40,'报价'!$C$5:$C$54,"&lt;="&amp;B40))</x:f>
      </x:c>
      <x:c r="F40" s="243" t="str">
        <x:f>IF(A40="","",COUNTIFS('报价'!$Q$5:$Q$54,"&gt;="&amp;A40,'报价'!$Q$5:$Q$54,"&lt;="&amp;B40))</x:f>
      </x:c>
      <x:c r="G40" s="234" t="str">
        <x:f>IF(A40="","",SUMIFS('现金流水'!$H$5:$H$104,'现金流水'!$A$5:$A$104,"&gt;="&amp;A40,'现金流水'!$A$5:$A$104,"&lt;="&amp;B40,'现金流水'!$B$5:$B$104,"收入",'现金流水'!$J$5:$J$104,"已到账"))</x:f>
      </x:c>
      <x:c r="H40" s="234" t="str">
        <x:f>IF(A40="","",SUMIFS('现金流水'!$H$5:$H$104,'现金流水'!$A$5:$A$104,"&gt;="&amp;A40,'现金流水'!$A$5:$A$104,"&lt;="&amp;B40,'现金流水'!$B$5:$B$104,"直接成本",'现金流水'!$J$5:$J$104,"已支付")+SUMIFS('现金流水'!$H$5:$H$104,'现金流水'!$A$5:$A$104,"&gt;="&amp;A40,'现金流水'!$A$5:$A$104,"&lt;="&amp;B40,'现金流水'!$B$5:$B$104,"固定成本",'现金流水'!$J$5:$J$104,"已支付")+SUMIFS('现金流水'!$H$5:$H$104,'现金流水'!$A$5:$A$104,"&gt;="&amp;A40,'现金流水'!$A$5:$A$104,"&lt;="&amp;B40,'现金流水'!$B$5:$B$104,"退款",'现金流水'!$J$5:$J$104,"已支付"))</x:f>
      </x:c>
      <x:c r="I40" s="234" t="str">
        <x:f>IF(A40="","",G40-H40)</x:f>
      </x:c>
      <x:c r="J40" s="234" t="str">
        <x:f>IF(A40="","",'说明与目标'!$B$14+SUM($I$18:I40))</x:f>
      </x:c>
      <x:c r="K40" s="234" t="str">
        <x:f>IF(A40="","",ROUND('说明与目标'!$B$8*MIN(1,MAX(0,(B40-'说明与目标'!$B$13)/('说明与目标'!$B$7-'说明与目标'!$B$13))),0))</x:f>
      </x:c>
      <x:c r="L40" s="234" t="str">
        <x:f>IF(A40="","",ROUND(J40-K40,0))</x:f>
      </x:c>
      <x:c r="M40" s="174"/>
      <x:c r="N40" s="174"/>
      <x:c r="O40" s="174"/>
      <x:c r="P40" s="174"/>
    </x:row>
    <x:row r="41">
      <x:c r="A41" s="200" t="str">
        <x:f>IF(A40="","",IF(A40+7&lt;='说明与目标'!$B$7,A40+7,""))</x:f>
      </x:c>
      <x:c r="B41" s="200" t="str">
        <x:f>IF(A41="","",MIN(A41+6,'说明与目标'!$B$7))</x:f>
      </x:c>
      <x:c r="C41" s="243" t="str">
        <x:f>IF(A41="","",COUNTIFS('线索'!$B$5:$B$54,"&gt;="&amp;A41,'线索'!$B$5:$B$54,"&lt;="&amp;B41))</x:f>
      </x:c>
      <x:c r="D41" s="243" t="str">
        <x:f>IF(A41="","",COUNTIFS('线索'!$B$5:$B$54,"&gt;="&amp;A41,'线索'!$B$5:$B$54,"&lt;="&amp;B41,'线索'!$L$5:$L$54,"&lt;&gt;新线索",'线索'!$L$5:$L$54,"&lt;&gt;未成交",'线索'!$L$5:$L$54,"&lt;&gt;暂停",'线索'!$L$5:$L$54,"&lt;&gt;"))</x:f>
      </x:c>
      <x:c r="E41" s="243" t="str">
        <x:f>IF(A41="","",COUNTIFS('报价'!$C$5:$C$54,"&gt;="&amp;A41,'报价'!$C$5:$C$54,"&lt;="&amp;B41))</x:f>
      </x:c>
      <x:c r="F41" s="243" t="str">
        <x:f>IF(A41="","",COUNTIFS('报价'!$Q$5:$Q$54,"&gt;="&amp;A41,'报价'!$Q$5:$Q$54,"&lt;="&amp;B41))</x:f>
      </x:c>
      <x:c r="G41" s="234" t="str">
        <x:f>IF(A41="","",SUMIFS('现金流水'!$H$5:$H$104,'现金流水'!$A$5:$A$104,"&gt;="&amp;A41,'现金流水'!$A$5:$A$104,"&lt;="&amp;B41,'现金流水'!$B$5:$B$104,"收入",'现金流水'!$J$5:$J$104,"已到账"))</x:f>
      </x:c>
      <x:c r="H41" s="234" t="str">
        <x:f>IF(A41="","",SUMIFS('现金流水'!$H$5:$H$104,'现金流水'!$A$5:$A$104,"&gt;="&amp;A41,'现金流水'!$A$5:$A$104,"&lt;="&amp;B41,'现金流水'!$B$5:$B$104,"直接成本",'现金流水'!$J$5:$J$104,"已支付")+SUMIFS('现金流水'!$H$5:$H$104,'现金流水'!$A$5:$A$104,"&gt;="&amp;A41,'现金流水'!$A$5:$A$104,"&lt;="&amp;B41,'现金流水'!$B$5:$B$104,"固定成本",'现金流水'!$J$5:$J$104,"已支付")+SUMIFS('现金流水'!$H$5:$H$104,'现金流水'!$A$5:$A$104,"&gt;="&amp;A41,'现金流水'!$A$5:$A$104,"&lt;="&amp;B41,'现金流水'!$B$5:$B$104,"退款",'现金流水'!$J$5:$J$104,"已支付"))</x:f>
      </x:c>
      <x:c r="I41" s="234" t="str">
        <x:f>IF(A41="","",G41-H41)</x:f>
      </x:c>
      <x:c r="J41" s="234" t="str">
        <x:f>IF(A41="","",'说明与目标'!$B$14+SUM($I$18:I41))</x:f>
      </x:c>
      <x:c r="K41" s="234" t="str">
        <x:f>IF(A41="","",ROUND('说明与目标'!$B$8*MIN(1,MAX(0,(B41-'说明与目标'!$B$13)/('说明与目标'!$B$7-'说明与目标'!$B$13))),0))</x:f>
      </x:c>
      <x:c r="L41" s="234" t="str">
        <x:f>IF(A41="","",ROUND(J41-K41,0))</x:f>
      </x:c>
      <x:c r="M41" s="174"/>
      <x:c r="N41" s="174"/>
      <x:c r="O41" s="174"/>
      <x:c r="P41" s="174"/>
    </x:row>
    <x:row r="42">
      <x:c r="A42" s="200" t="str">
        <x:f>IF(A41="","",IF(A41+7&lt;='说明与目标'!$B$7,A41+7,""))</x:f>
      </x:c>
      <x:c r="B42" s="200" t="str">
        <x:f>IF(A42="","",MIN(A42+6,'说明与目标'!$B$7))</x:f>
      </x:c>
      <x:c r="C42" s="243" t="str">
        <x:f>IF(A42="","",COUNTIFS('线索'!$B$5:$B$54,"&gt;="&amp;A42,'线索'!$B$5:$B$54,"&lt;="&amp;B42))</x:f>
      </x:c>
      <x:c r="D42" s="243" t="str">
        <x:f>IF(A42="","",COUNTIFS('线索'!$B$5:$B$54,"&gt;="&amp;A42,'线索'!$B$5:$B$54,"&lt;="&amp;B42,'线索'!$L$5:$L$54,"&lt;&gt;新线索",'线索'!$L$5:$L$54,"&lt;&gt;未成交",'线索'!$L$5:$L$54,"&lt;&gt;暂停",'线索'!$L$5:$L$54,"&lt;&gt;"))</x:f>
      </x:c>
      <x:c r="E42" s="243" t="str">
        <x:f>IF(A42="","",COUNTIFS('报价'!$C$5:$C$54,"&gt;="&amp;A42,'报价'!$C$5:$C$54,"&lt;="&amp;B42))</x:f>
      </x:c>
      <x:c r="F42" s="243" t="str">
        <x:f>IF(A42="","",COUNTIFS('报价'!$Q$5:$Q$54,"&gt;="&amp;A42,'报价'!$Q$5:$Q$54,"&lt;="&amp;B42))</x:f>
      </x:c>
      <x:c r="G42" s="234" t="str">
        <x:f>IF(A42="","",SUMIFS('现金流水'!$H$5:$H$104,'现金流水'!$A$5:$A$104,"&gt;="&amp;A42,'现金流水'!$A$5:$A$104,"&lt;="&amp;B42,'现金流水'!$B$5:$B$104,"收入",'现金流水'!$J$5:$J$104,"已到账"))</x:f>
      </x:c>
      <x:c r="H42" s="234" t="str">
        <x:f>IF(A42="","",SUMIFS('现金流水'!$H$5:$H$104,'现金流水'!$A$5:$A$104,"&gt;="&amp;A42,'现金流水'!$A$5:$A$104,"&lt;="&amp;B42,'现金流水'!$B$5:$B$104,"直接成本",'现金流水'!$J$5:$J$104,"已支付")+SUMIFS('现金流水'!$H$5:$H$104,'现金流水'!$A$5:$A$104,"&gt;="&amp;A42,'现金流水'!$A$5:$A$104,"&lt;="&amp;B42,'现金流水'!$B$5:$B$104,"固定成本",'现金流水'!$J$5:$J$104,"已支付")+SUMIFS('现金流水'!$H$5:$H$104,'现金流水'!$A$5:$A$104,"&gt;="&amp;A42,'现金流水'!$A$5:$A$104,"&lt;="&amp;B42,'现金流水'!$B$5:$B$104,"退款",'现金流水'!$J$5:$J$104,"已支付"))</x:f>
      </x:c>
      <x:c r="I42" s="234" t="str">
        <x:f>IF(A42="","",G42-H42)</x:f>
      </x:c>
      <x:c r="J42" s="234" t="str">
        <x:f>IF(A42="","",'说明与目标'!$B$14+SUM($I$18:I42))</x:f>
      </x:c>
      <x:c r="K42" s="234" t="str">
        <x:f>IF(A42="","",ROUND('说明与目标'!$B$8*MIN(1,MAX(0,(B42-'说明与目标'!$B$13)/('说明与目标'!$B$7-'说明与目标'!$B$13))),0))</x:f>
      </x:c>
      <x:c r="L42" s="234" t="str">
        <x:f>IF(A42="","",ROUND(J42-K42,0))</x:f>
      </x:c>
      <x:c r="M42" s="174"/>
      <x:c r="N42" s="174"/>
      <x:c r="O42" s="174"/>
      <x:c r="P42" s="174"/>
    </x:row>
    <x:row r="43">
      <x:c r="A43" s="200" t="str">
        <x:f>IF(A42="","",IF(A42+7&lt;='说明与目标'!$B$7,A42+7,""))</x:f>
      </x:c>
      <x:c r="B43" s="200" t="str">
        <x:f>IF(A43="","",MIN(A43+6,'说明与目标'!$B$7))</x:f>
      </x:c>
      <x:c r="C43" s="243" t="str">
        <x:f>IF(A43="","",COUNTIFS('线索'!$B$5:$B$54,"&gt;="&amp;A43,'线索'!$B$5:$B$54,"&lt;="&amp;B43))</x:f>
      </x:c>
      <x:c r="D43" s="243" t="str">
        <x:f>IF(A43="","",COUNTIFS('线索'!$B$5:$B$54,"&gt;="&amp;A43,'线索'!$B$5:$B$54,"&lt;="&amp;B43,'线索'!$L$5:$L$54,"&lt;&gt;新线索",'线索'!$L$5:$L$54,"&lt;&gt;未成交",'线索'!$L$5:$L$54,"&lt;&gt;暂停",'线索'!$L$5:$L$54,"&lt;&gt;"))</x:f>
      </x:c>
      <x:c r="E43" s="243" t="str">
        <x:f>IF(A43="","",COUNTIFS('报价'!$C$5:$C$54,"&gt;="&amp;A43,'报价'!$C$5:$C$54,"&lt;="&amp;B43))</x:f>
      </x:c>
      <x:c r="F43" s="243" t="str">
        <x:f>IF(A43="","",COUNTIFS('报价'!$Q$5:$Q$54,"&gt;="&amp;A43,'报价'!$Q$5:$Q$54,"&lt;="&amp;B43))</x:f>
      </x:c>
      <x:c r="G43" s="234" t="str">
        <x:f>IF(A43="","",SUMIFS('现金流水'!$H$5:$H$104,'现金流水'!$A$5:$A$104,"&gt;="&amp;A43,'现金流水'!$A$5:$A$104,"&lt;="&amp;B43,'现金流水'!$B$5:$B$104,"收入",'现金流水'!$J$5:$J$104,"已到账"))</x:f>
      </x:c>
      <x:c r="H43" s="234" t="str">
        <x:f>IF(A43="","",SUMIFS('现金流水'!$H$5:$H$104,'现金流水'!$A$5:$A$104,"&gt;="&amp;A43,'现金流水'!$A$5:$A$104,"&lt;="&amp;B43,'现金流水'!$B$5:$B$104,"直接成本",'现金流水'!$J$5:$J$104,"已支付")+SUMIFS('现金流水'!$H$5:$H$104,'现金流水'!$A$5:$A$104,"&gt;="&amp;A43,'现金流水'!$A$5:$A$104,"&lt;="&amp;B43,'现金流水'!$B$5:$B$104,"固定成本",'现金流水'!$J$5:$J$104,"已支付")+SUMIFS('现金流水'!$H$5:$H$104,'现金流水'!$A$5:$A$104,"&gt;="&amp;A43,'现金流水'!$A$5:$A$104,"&lt;="&amp;B43,'现金流水'!$B$5:$B$104,"退款",'现金流水'!$J$5:$J$104,"已支付"))</x:f>
      </x:c>
      <x:c r="I43" s="234" t="str">
        <x:f>IF(A43="","",G43-H43)</x:f>
      </x:c>
      <x:c r="J43" s="234" t="str">
        <x:f>IF(A43="","",'说明与目标'!$B$14+SUM($I$18:I43))</x:f>
      </x:c>
      <x:c r="K43" s="234" t="str">
        <x:f>IF(A43="","",ROUND('说明与目标'!$B$8*MIN(1,MAX(0,(B43-'说明与目标'!$B$13)/('说明与目标'!$B$7-'说明与目标'!$B$13))),0))</x:f>
      </x:c>
      <x:c r="L43" s="234" t="str">
        <x:f>IF(A43="","",ROUND(J43-K43,0))</x:f>
      </x:c>
      <x:c r="M43" s="174"/>
      <x:c r="N43" s="174"/>
      <x:c r="O43" s="174"/>
      <x:c r="P43" s="174"/>
    </x:row>
    <x:row r="44">
      <x:c r="A44" s="200" t="str">
        <x:f>IF(A43="","",IF(A43+7&lt;='说明与目标'!$B$7,A43+7,""))</x:f>
      </x:c>
      <x:c r="B44" s="200" t="str">
        <x:f>IF(A44="","",MIN(A44+6,'说明与目标'!$B$7))</x:f>
      </x:c>
      <x:c r="C44" s="243" t="str">
        <x:f>IF(A44="","",COUNTIFS('线索'!$B$5:$B$54,"&gt;="&amp;A44,'线索'!$B$5:$B$54,"&lt;="&amp;B44))</x:f>
      </x:c>
      <x:c r="D44" s="243" t="str">
        <x:f>IF(A44="","",COUNTIFS('线索'!$B$5:$B$54,"&gt;="&amp;A44,'线索'!$B$5:$B$54,"&lt;="&amp;B44,'线索'!$L$5:$L$54,"&lt;&gt;新线索",'线索'!$L$5:$L$54,"&lt;&gt;未成交",'线索'!$L$5:$L$54,"&lt;&gt;暂停",'线索'!$L$5:$L$54,"&lt;&gt;"))</x:f>
      </x:c>
      <x:c r="E44" s="243" t="str">
        <x:f>IF(A44="","",COUNTIFS('报价'!$C$5:$C$54,"&gt;="&amp;A44,'报价'!$C$5:$C$54,"&lt;="&amp;B44))</x:f>
      </x:c>
      <x:c r="F44" s="243" t="str">
        <x:f>IF(A44="","",COUNTIFS('报价'!$Q$5:$Q$54,"&gt;="&amp;A44,'报价'!$Q$5:$Q$54,"&lt;="&amp;B44))</x:f>
      </x:c>
      <x:c r="G44" s="234" t="str">
        <x:f>IF(A44="","",SUMIFS('现金流水'!$H$5:$H$104,'现金流水'!$A$5:$A$104,"&gt;="&amp;A44,'现金流水'!$A$5:$A$104,"&lt;="&amp;B44,'现金流水'!$B$5:$B$104,"收入",'现金流水'!$J$5:$J$104,"已到账"))</x:f>
      </x:c>
      <x:c r="H44" s="234" t="str">
        <x:f>IF(A44="","",SUMIFS('现金流水'!$H$5:$H$104,'现金流水'!$A$5:$A$104,"&gt;="&amp;A44,'现金流水'!$A$5:$A$104,"&lt;="&amp;B44,'现金流水'!$B$5:$B$104,"直接成本",'现金流水'!$J$5:$J$104,"已支付")+SUMIFS('现金流水'!$H$5:$H$104,'现金流水'!$A$5:$A$104,"&gt;="&amp;A44,'现金流水'!$A$5:$A$104,"&lt;="&amp;B44,'现金流水'!$B$5:$B$104,"固定成本",'现金流水'!$J$5:$J$104,"已支付")+SUMIFS('现金流水'!$H$5:$H$104,'现金流水'!$A$5:$A$104,"&gt;="&amp;A44,'现金流水'!$A$5:$A$104,"&lt;="&amp;B44,'现金流水'!$B$5:$B$104,"退款",'现金流水'!$J$5:$J$104,"已支付"))</x:f>
      </x:c>
      <x:c r="I44" s="234" t="str">
        <x:f>IF(A44="","",G44-H44)</x:f>
      </x:c>
      <x:c r="J44" s="234" t="str">
        <x:f>IF(A44="","",'说明与目标'!$B$14+SUM($I$18:I44))</x:f>
      </x:c>
      <x:c r="K44" s="234" t="str">
        <x:f>IF(A44="","",ROUND('说明与目标'!$B$8*MIN(1,MAX(0,(B44-'说明与目标'!$B$13)/('说明与目标'!$B$7-'说明与目标'!$B$13))),0))</x:f>
      </x:c>
      <x:c r="L44" s="234" t="str">
        <x:f>IF(A44="","",ROUND(J44-K44,0))</x:f>
      </x:c>
      <x:c r="M44" s="174"/>
      <x:c r="N44" s="174"/>
      <x:c r="O44" s="174"/>
      <x:c r="P44" s="174"/>
    </x:row>
    <x:row r="45">
      <x:c r="A45" s="200" t="str">
        <x:f>IF(A44="","",IF(A44+7&lt;='说明与目标'!$B$7,A44+7,""))</x:f>
      </x:c>
      <x:c r="B45" s="200" t="str">
        <x:f>IF(A45="","",MIN(A45+6,'说明与目标'!$B$7))</x:f>
      </x:c>
      <x:c r="C45" s="243" t="str">
        <x:f>IF(A45="","",COUNTIFS('线索'!$B$5:$B$54,"&gt;="&amp;A45,'线索'!$B$5:$B$54,"&lt;="&amp;B45))</x:f>
      </x:c>
      <x:c r="D45" s="243" t="str">
        <x:f>IF(A45="","",COUNTIFS('线索'!$B$5:$B$54,"&gt;="&amp;A45,'线索'!$B$5:$B$54,"&lt;="&amp;B45,'线索'!$L$5:$L$54,"&lt;&gt;新线索",'线索'!$L$5:$L$54,"&lt;&gt;未成交",'线索'!$L$5:$L$54,"&lt;&gt;暂停",'线索'!$L$5:$L$54,"&lt;&gt;"))</x:f>
      </x:c>
      <x:c r="E45" s="243" t="str">
        <x:f>IF(A45="","",COUNTIFS('报价'!$C$5:$C$54,"&gt;="&amp;A45,'报价'!$C$5:$C$54,"&lt;="&amp;B45))</x:f>
      </x:c>
      <x:c r="F45" s="243" t="str">
        <x:f>IF(A45="","",COUNTIFS('报价'!$Q$5:$Q$54,"&gt;="&amp;A45,'报价'!$Q$5:$Q$54,"&lt;="&amp;B45))</x:f>
      </x:c>
      <x:c r="G45" s="234" t="str">
        <x:f>IF(A45="","",SUMIFS('现金流水'!$H$5:$H$104,'现金流水'!$A$5:$A$104,"&gt;="&amp;A45,'现金流水'!$A$5:$A$104,"&lt;="&amp;B45,'现金流水'!$B$5:$B$104,"收入",'现金流水'!$J$5:$J$104,"已到账"))</x:f>
      </x:c>
      <x:c r="H45" s="234" t="str">
        <x:f>IF(A45="","",SUMIFS('现金流水'!$H$5:$H$104,'现金流水'!$A$5:$A$104,"&gt;="&amp;A45,'现金流水'!$A$5:$A$104,"&lt;="&amp;B45,'现金流水'!$B$5:$B$104,"直接成本",'现金流水'!$J$5:$J$104,"已支付")+SUMIFS('现金流水'!$H$5:$H$104,'现金流水'!$A$5:$A$104,"&gt;="&amp;A45,'现金流水'!$A$5:$A$104,"&lt;="&amp;B45,'现金流水'!$B$5:$B$104,"固定成本",'现金流水'!$J$5:$J$104,"已支付")+SUMIFS('现金流水'!$H$5:$H$104,'现金流水'!$A$5:$A$104,"&gt;="&amp;A45,'现金流水'!$A$5:$A$104,"&lt;="&amp;B45,'现金流水'!$B$5:$B$104,"退款",'现金流水'!$J$5:$J$104,"已支付"))</x:f>
      </x:c>
      <x:c r="I45" s="234" t="str">
        <x:f>IF(A45="","",G45-H45)</x:f>
      </x:c>
      <x:c r="J45" s="234" t="str">
        <x:f>IF(A45="","",'说明与目标'!$B$14+SUM($I$18:I45))</x:f>
      </x:c>
      <x:c r="K45" s="234" t="str">
        <x:f>IF(A45="","",ROUND('说明与目标'!$B$8*MIN(1,MAX(0,(B45-'说明与目标'!$B$13)/('说明与目标'!$B$7-'说明与目标'!$B$13))),0))</x:f>
      </x:c>
      <x:c r="L45" s="234" t="str">
        <x:f>IF(A45="","",ROUND(J45-K45,0))</x:f>
      </x:c>
      <x:c r="M45" s="174"/>
      <x:c r="N45" s="174"/>
      <x:c r="O45" s="174"/>
      <x:c r="P45" s="174"/>
    </x:row>
    <x:row r="46">
      <x:c r="A46" s="200" t="str">
        <x:f>IF(A45="","",IF(A45+7&lt;='说明与目标'!$B$7,A45+7,""))</x:f>
      </x:c>
      <x:c r="B46" s="200" t="str">
        <x:f>IF(A46="","",MIN(A46+6,'说明与目标'!$B$7))</x:f>
      </x:c>
      <x:c r="C46" s="243" t="str">
        <x:f>IF(A46="","",COUNTIFS('线索'!$B$5:$B$54,"&gt;="&amp;A46,'线索'!$B$5:$B$54,"&lt;="&amp;B46))</x:f>
      </x:c>
      <x:c r="D46" s="243" t="str">
        <x:f>IF(A46="","",COUNTIFS('线索'!$B$5:$B$54,"&gt;="&amp;A46,'线索'!$B$5:$B$54,"&lt;="&amp;B46,'线索'!$L$5:$L$54,"&lt;&gt;新线索",'线索'!$L$5:$L$54,"&lt;&gt;未成交",'线索'!$L$5:$L$54,"&lt;&gt;暂停",'线索'!$L$5:$L$54,"&lt;&gt;"))</x:f>
      </x:c>
      <x:c r="E46" s="243" t="str">
        <x:f>IF(A46="","",COUNTIFS('报价'!$C$5:$C$54,"&gt;="&amp;A46,'报价'!$C$5:$C$54,"&lt;="&amp;B46))</x:f>
      </x:c>
      <x:c r="F46" s="243" t="str">
        <x:f>IF(A46="","",COUNTIFS('报价'!$Q$5:$Q$54,"&gt;="&amp;A46,'报价'!$Q$5:$Q$54,"&lt;="&amp;B46))</x:f>
      </x:c>
      <x:c r="G46" s="234" t="str">
        <x:f>IF(A46="","",SUMIFS('现金流水'!$H$5:$H$104,'现金流水'!$A$5:$A$104,"&gt;="&amp;A46,'现金流水'!$A$5:$A$104,"&lt;="&amp;B46,'现金流水'!$B$5:$B$104,"收入",'现金流水'!$J$5:$J$104,"已到账"))</x:f>
      </x:c>
      <x:c r="H46" s="234" t="str">
        <x:f>IF(A46="","",SUMIFS('现金流水'!$H$5:$H$104,'现金流水'!$A$5:$A$104,"&gt;="&amp;A46,'现金流水'!$A$5:$A$104,"&lt;="&amp;B46,'现金流水'!$B$5:$B$104,"直接成本",'现金流水'!$J$5:$J$104,"已支付")+SUMIFS('现金流水'!$H$5:$H$104,'现金流水'!$A$5:$A$104,"&gt;="&amp;A46,'现金流水'!$A$5:$A$104,"&lt;="&amp;B46,'现金流水'!$B$5:$B$104,"固定成本",'现金流水'!$J$5:$J$104,"已支付")+SUMIFS('现金流水'!$H$5:$H$104,'现金流水'!$A$5:$A$104,"&gt;="&amp;A46,'现金流水'!$A$5:$A$104,"&lt;="&amp;B46,'现金流水'!$B$5:$B$104,"退款",'现金流水'!$J$5:$J$104,"已支付"))</x:f>
      </x:c>
      <x:c r="I46" s="234" t="str">
        <x:f>IF(A46="","",G46-H46)</x:f>
      </x:c>
      <x:c r="J46" s="234" t="str">
        <x:f>IF(A46="","",'说明与目标'!$B$14+SUM($I$18:I46))</x:f>
      </x:c>
      <x:c r="K46" s="234" t="str">
        <x:f>IF(A46="","",ROUND('说明与目标'!$B$8*MIN(1,MAX(0,(B46-'说明与目标'!$B$13)/('说明与目标'!$B$7-'说明与目标'!$B$13))),0))</x:f>
      </x:c>
      <x:c r="L46" s="234" t="str">
        <x:f>IF(A46="","",ROUND(J46-K46,0))</x:f>
      </x:c>
      <x:c r="M46" s="174"/>
      <x:c r="N46" s="174"/>
      <x:c r="O46" s="174"/>
      <x:c r="P46" s="174"/>
    </x:row>
    <x:row r="47">
      <x:c r="A47" s="200" t="str">
        <x:f>IF(A46="","",IF(A46+7&lt;='说明与目标'!$B$7,A46+7,""))</x:f>
      </x:c>
      <x:c r="B47" s="200" t="str">
        <x:f>IF(A47="","",MIN(A47+6,'说明与目标'!$B$7))</x:f>
      </x:c>
      <x:c r="C47" s="243" t="str">
        <x:f>IF(A47="","",COUNTIFS('线索'!$B$5:$B$54,"&gt;="&amp;A47,'线索'!$B$5:$B$54,"&lt;="&amp;B47))</x:f>
      </x:c>
      <x:c r="D47" s="243" t="str">
        <x:f>IF(A47="","",COUNTIFS('线索'!$B$5:$B$54,"&gt;="&amp;A47,'线索'!$B$5:$B$54,"&lt;="&amp;B47,'线索'!$L$5:$L$54,"&lt;&gt;新线索",'线索'!$L$5:$L$54,"&lt;&gt;未成交",'线索'!$L$5:$L$54,"&lt;&gt;暂停",'线索'!$L$5:$L$54,"&lt;&gt;"))</x:f>
      </x:c>
      <x:c r="E47" s="243" t="str">
        <x:f>IF(A47="","",COUNTIFS('报价'!$C$5:$C$54,"&gt;="&amp;A47,'报价'!$C$5:$C$54,"&lt;="&amp;B47))</x:f>
      </x:c>
      <x:c r="F47" s="243" t="str">
        <x:f>IF(A47="","",COUNTIFS('报价'!$Q$5:$Q$54,"&gt;="&amp;A47,'报价'!$Q$5:$Q$54,"&lt;="&amp;B47))</x:f>
      </x:c>
      <x:c r="G47" s="234" t="str">
        <x:f>IF(A47="","",SUMIFS('现金流水'!$H$5:$H$104,'现金流水'!$A$5:$A$104,"&gt;="&amp;A47,'现金流水'!$A$5:$A$104,"&lt;="&amp;B47,'现金流水'!$B$5:$B$104,"收入",'现金流水'!$J$5:$J$104,"已到账"))</x:f>
      </x:c>
      <x:c r="H47" s="234" t="str">
        <x:f>IF(A47="","",SUMIFS('现金流水'!$H$5:$H$104,'现金流水'!$A$5:$A$104,"&gt;="&amp;A47,'现金流水'!$A$5:$A$104,"&lt;="&amp;B47,'现金流水'!$B$5:$B$104,"直接成本",'现金流水'!$J$5:$J$104,"已支付")+SUMIFS('现金流水'!$H$5:$H$104,'现金流水'!$A$5:$A$104,"&gt;="&amp;A47,'现金流水'!$A$5:$A$104,"&lt;="&amp;B47,'现金流水'!$B$5:$B$104,"固定成本",'现金流水'!$J$5:$J$104,"已支付")+SUMIFS('现金流水'!$H$5:$H$104,'现金流水'!$A$5:$A$104,"&gt;="&amp;A47,'现金流水'!$A$5:$A$104,"&lt;="&amp;B47,'现金流水'!$B$5:$B$104,"退款",'现金流水'!$J$5:$J$104,"已支付"))</x:f>
      </x:c>
      <x:c r="I47" s="234" t="str">
        <x:f>IF(A47="","",G47-H47)</x:f>
      </x:c>
      <x:c r="J47" s="234" t="str">
        <x:f>IF(A47="","",'说明与目标'!$B$14+SUM($I$18:I47))</x:f>
      </x:c>
      <x:c r="K47" s="234" t="str">
        <x:f>IF(A47="","",ROUND('说明与目标'!$B$8*MIN(1,MAX(0,(B47-'说明与目标'!$B$13)/('说明与目标'!$B$7-'说明与目标'!$B$13))),0))</x:f>
      </x:c>
      <x:c r="L47" s="234" t="str">
        <x:f>IF(A47="","",ROUND(J47-K47,0))</x:f>
      </x:c>
      <x:c r="M47" s="174"/>
      <x:c r="N47" s="174"/>
      <x:c r="O47" s="174"/>
      <x:c r="P47" s="174"/>
    </x:row>
    <x:row r="48">
      <x:c r="A48" s="200" t="str">
        <x:f>IF(A47="","",IF(A47+7&lt;='说明与目标'!$B$7,A47+7,""))</x:f>
      </x:c>
      <x:c r="B48" s="200" t="str">
        <x:f>IF(A48="","",MIN(A48+6,'说明与目标'!$B$7))</x:f>
      </x:c>
      <x:c r="C48" s="243" t="str">
        <x:f>IF(A48="","",COUNTIFS('线索'!$B$5:$B$54,"&gt;="&amp;A48,'线索'!$B$5:$B$54,"&lt;="&amp;B48))</x:f>
      </x:c>
      <x:c r="D48" s="243" t="str">
        <x:f>IF(A48="","",COUNTIFS('线索'!$B$5:$B$54,"&gt;="&amp;A48,'线索'!$B$5:$B$54,"&lt;="&amp;B48,'线索'!$L$5:$L$54,"&lt;&gt;新线索",'线索'!$L$5:$L$54,"&lt;&gt;未成交",'线索'!$L$5:$L$54,"&lt;&gt;暂停",'线索'!$L$5:$L$54,"&lt;&gt;"))</x:f>
      </x:c>
      <x:c r="E48" s="243" t="str">
        <x:f>IF(A48="","",COUNTIFS('报价'!$C$5:$C$54,"&gt;="&amp;A48,'报价'!$C$5:$C$54,"&lt;="&amp;B48))</x:f>
      </x:c>
      <x:c r="F48" s="243" t="str">
        <x:f>IF(A48="","",COUNTIFS('报价'!$Q$5:$Q$54,"&gt;="&amp;A48,'报价'!$Q$5:$Q$54,"&lt;="&amp;B48))</x:f>
      </x:c>
      <x:c r="G48" s="234" t="str">
        <x:f>IF(A48="","",SUMIFS('现金流水'!$H$5:$H$104,'现金流水'!$A$5:$A$104,"&gt;="&amp;A48,'现金流水'!$A$5:$A$104,"&lt;="&amp;B48,'现金流水'!$B$5:$B$104,"收入",'现金流水'!$J$5:$J$104,"已到账"))</x:f>
      </x:c>
      <x:c r="H48" s="234" t="str">
        <x:f>IF(A48="","",SUMIFS('现金流水'!$H$5:$H$104,'现金流水'!$A$5:$A$104,"&gt;="&amp;A48,'现金流水'!$A$5:$A$104,"&lt;="&amp;B48,'现金流水'!$B$5:$B$104,"直接成本",'现金流水'!$J$5:$J$104,"已支付")+SUMIFS('现金流水'!$H$5:$H$104,'现金流水'!$A$5:$A$104,"&gt;="&amp;A48,'现金流水'!$A$5:$A$104,"&lt;="&amp;B48,'现金流水'!$B$5:$B$104,"固定成本",'现金流水'!$J$5:$J$104,"已支付")+SUMIFS('现金流水'!$H$5:$H$104,'现金流水'!$A$5:$A$104,"&gt;="&amp;A48,'现金流水'!$A$5:$A$104,"&lt;="&amp;B48,'现金流水'!$B$5:$B$104,"退款",'现金流水'!$J$5:$J$104,"已支付"))</x:f>
      </x:c>
      <x:c r="I48" s="234" t="str">
        <x:f>IF(A48="","",G48-H48)</x:f>
      </x:c>
      <x:c r="J48" s="234" t="str">
        <x:f>IF(A48="","",'说明与目标'!$B$14+SUM($I$18:I48))</x:f>
      </x:c>
      <x:c r="K48" s="234" t="str">
        <x:f>IF(A48="","",ROUND('说明与目标'!$B$8*MIN(1,MAX(0,(B48-'说明与目标'!$B$13)/('说明与目标'!$B$7-'说明与目标'!$B$13))),0))</x:f>
      </x:c>
      <x:c r="L48" s="234" t="str">
        <x:f>IF(A48="","",ROUND(J48-K48,0))</x:f>
      </x:c>
      <x:c r="M48" s="174"/>
      <x:c r="N48" s="174"/>
      <x:c r="O48" s="174"/>
      <x:c r="P48" s="174"/>
    </x:row>
    <x:row r="49">
      <x:c r="A49" s="200" t="str">
        <x:f>IF(A48="","",IF(A48+7&lt;='说明与目标'!$B$7,A48+7,""))</x:f>
      </x:c>
      <x:c r="B49" s="200" t="str">
        <x:f>IF(A49="","",MIN(A49+6,'说明与目标'!$B$7))</x:f>
      </x:c>
      <x:c r="C49" s="243" t="str">
        <x:f>IF(A49="","",COUNTIFS('线索'!$B$5:$B$54,"&gt;="&amp;A49,'线索'!$B$5:$B$54,"&lt;="&amp;B49))</x:f>
      </x:c>
      <x:c r="D49" s="243" t="str">
        <x:f>IF(A49="","",COUNTIFS('线索'!$B$5:$B$54,"&gt;="&amp;A49,'线索'!$B$5:$B$54,"&lt;="&amp;B49,'线索'!$L$5:$L$54,"&lt;&gt;新线索",'线索'!$L$5:$L$54,"&lt;&gt;未成交",'线索'!$L$5:$L$54,"&lt;&gt;暂停",'线索'!$L$5:$L$54,"&lt;&gt;"))</x:f>
      </x:c>
      <x:c r="E49" s="243" t="str">
        <x:f>IF(A49="","",COUNTIFS('报价'!$C$5:$C$54,"&gt;="&amp;A49,'报价'!$C$5:$C$54,"&lt;="&amp;B49))</x:f>
      </x:c>
      <x:c r="F49" s="243" t="str">
        <x:f>IF(A49="","",COUNTIFS('报价'!$Q$5:$Q$54,"&gt;="&amp;A49,'报价'!$Q$5:$Q$54,"&lt;="&amp;B49))</x:f>
      </x:c>
      <x:c r="G49" s="234" t="str">
        <x:f>IF(A49="","",SUMIFS('现金流水'!$H$5:$H$104,'现金流水'!$A$5:$A$104,"&gt;="&amp;A49,'现金流水'!$A$5:$A$104,"&lt;="&amp;B49,'现金流水'!$B$5:$B$104,"收入",'现金流水'!$J$5:$J$104,"已到账"))</x:f>
      </x:c>
      <x:c r="H49" s="234" t="str">
        <x:f>IF(A49="","",SUMIFS('现金流水'!$H$5:$H$104,'现金流水'!$A$5:$A$104,"&gt;="&amp;A49,'现金流水'!$A$5:$A$104,"&lt;="&amp;B49,'现金流水'!$B$5:$B$104,"直接成本",'现金流水'!$J$5:$J$104,"已支付")+SUMIFS('现金流水'!$H$5:$H$104,'现金流水'!$A$5:$A$104,"&gt;="&amp;A49,'现金流水'!$A$5:$A$104,"&lt;="&amp;B49,'现金流水'!$B$5:$B$104,"固定成本",'现金流水'!$J$5:$J$104,"已支付")+SUMIFS('现金流水'!$H$5:$H$104,'现金流水'!$A$5:$A$104,"&gt;="&amp;A49,'现金流水'!$A$5:$A$104,"&lt;="&amp;B49,'现金流水'!$B$5:$B$104,"退款",'现金流水'!$J$5:$J$104,"已支付"))</x:f>
      </x:c>
      <x:c r="I49" s="234" t="str">
        <x:f>IF(A49="","",G49-H49)</x:f>
      </x:c>
      <x:c r="J49" s="234" t="str">
        <x:f>IF(A49="","",'说明与目标'!$B$14+SUM($I$18:I49))</x:f>
      </x:c>
      <x:c r="K49" s="234" t="str">
        <x:f>IF(A49="","",ROUND('说明与目标'!$B$8*MIN(1,MAX(0,(B49-'说明与目标'!$B$13)/('说明与目标'!$B$7-'说明与目标'!$B$13))),0))</x:f>
      </x:c>
      <x:c r="L49" s="234" t="str">
        <x:f>IF(A49="","",ROUND(J49-K49,0))</x:f>
      </x:c>
      <x:c r="M49" s="174"/>
      <x:c r="N49" s="174"/>
      <x:c r="O49" s="174"/>
      <x:c r="P49" s="174"/>
    </x:row>
    <x:row r="50">
      <x:c r="A50" s="200" t="str">
        <x:f>IF(A49="","",IF(A49+7&lt;='说明与目标'!$B$7,A49+7,""))</x:f>
      </x:c>
      <x:c r="B50" s="200" t="str">
        <x:f>IF(A50="","",MIN(A50+6,'说明与目标'!$B$7))</x:f>
      </x:c>
      <x:c r="C50" s="243" t="str">
        <x:f>IF(A50="","",COUNTIFS('线索'!$B$5:$B$54,"&gt;="&amp;A50,'线索'!$B$5:$B$54,"&lt;="&amp;B50))</x:f>
      </x:c>
      <x:c r="D50" s="243" t="str">
        <x:f>IF(A50="","",COUNTIFS('线索'!$B$5:$B$54,"&gt;="&amp;A50,'线索'!$B$5:$B$54,"&lt;="&amp;B50,'线索'!$L$5:$L$54,"&lt;&gt;新线索",'线索'!$L$5:$L$54,"&lt;&gt;未成交",'线索'!$L$5:$L$54,"&lt;&gt;暂停",'线索'!$L$5:$L$54,"&lt;&gt;"))</x:f>
      </x:c>
      <x:c r="E50" s="243" t="str">
        <x:f>IF(A50="","",COUNTIFS('报价'!$C$5:$C$54,"&gt;="&amp;A50,'报价'!$C$5:$C$54,"&lt;="&amp;B50))</x:f>
      </x:c>
      <x:c r="F50" s="243" t="str">
        <x:f>IF(A50="","",COUNTIFS('报价'!$Q$5:$Q$54,"&gt;="&amp;A50,'报价'!$Q$5:$Q$54,"&lt;="&amp;B50))</x:f>
      </x:c>
      <x:c r="G50" s="234" t="str">
        <x:f>IF(A50="","",SUMIFS('现金流水'!$H$5:$H$104,'现金流水'!$A$5:$A$104,"&gt;="&amp;A50,'现金流水'!$A$5:$A$104,"&lt;="&amp;B50,'现金流水'!$B$5:$B$104,"收入",'现金流水'!$J$5:$J$104,"已到账"))</x:f>
      </x:c>
      <x:c r="H50" s="234" t="str">
        <x:f>IF(A50="","",SUMIFS('现金流水'!$H$5:$H$104,'现金流水'!$A$5:$A$104,"&gt;="&amp;A50,'现金流水'!$A$5:$A$104,"&lt;="&amp;B50,'现金流水'!$B$5:$B$104,"直接成本",'现金流水'!$J$5:$J$104,"已支付")+SUMIFS('现金流水'!$H$5:$H$104,'现金流水'!$A$5:$A$104,"&gt;="&amp;A50,'现金流水'!$A$5:$A$104,"&lt;="&amp;B50,'现金流水'!$B$5:$B$104,"固定成本",'现金流水'!$J$5:$J$104,"已支付")+SUMIFS('现金流水'!$H$5:$H$104,'现金流水'!$A$5:$A$104,"&gt;="&amp;A50,'现金流水'!$A$5:$A$104,"&lt;="&amp;B50,'现金流水'!$B$5:$B$104,"退款",'现金流水'!$J$5:$J$104,"已支付"))</x:f>
      </x:c>
      <x:c r="I50" s="234" t="str">
        <x:f>IF(A50="","",G50-H50)</x:f>
      </x:c>
      <x:c r="J50" s="234" t="str">
        <x:f>IF(A50="","",'说明与目标'!$B$14+SUM($I$18:I50))</x:f>
      </x:c>
      <x:c r="K50" s="234" t="str">
        <x:f>IF(A50="","",ROUND('说明与目标'!$B$8*MIN(1,MAX(0,(B50-'说明与目标'!$B$13)/('说明与目标'!$B$7-'说明与目标'!$B$13))),0))</x:f>
      </x:c>
      <x:c r="L50" s="234" t="str">
        <x:f>IF(A50="","",ROUND(J50-K50,0))</x:f>
      </x:c>
      <x:c r="M50" s="174"/>
      <x:c r="N50" s="174"/>
      <x:c r="O50" s="174"/>
      <x:c r="P50" s="174"/>
    </x:row>
    <x:row r="51">
      <x:c r="A51" s="200" t="str">
        <x:f>IF(A50="","",IF(A50+7&lt;='说明与目标'!$B$7,A50+7,""))</x:f>
      </x:c>
      <x:c r="B51" s="200" t="str">
        <x:f>IF(A51="","",MIN(A51+6,'说明与目标'!$B$7))</x:f>
      </x:c>
      <x:c r="C51" s="243" t="str">
        <x:f>IF(A51="","",COUNTIFS('线索'!$B$5:$B$54,"&gt;="&amp;A51,'线索'!$B$5:$B$54,"&lt;="&amp;B51))</x:f>
      </x:c>
      <x:c r="D51" s="243" t="str">
        <x:f>IF(A51="","",COUNTIFS('线索'!$B$5:$B$54,"&gt;="&amp;A51,'线索'!$B$5:$B$54,"&lt;="&amp;B51,'线索'!$L$5:$L$54,"&lt;&gt;新线索",'线索'!$L$5:$L$54,"&lt;&gt;未成交",'线索'!$L$5:$L$54,"&lt;&gt;暂停",'线索'!$L$5:$L$54,"&lt;&gt;"))</x:f>
      </x:c>
      <x:c r="E51" s="243" t="str">
        <x:f>IF(A51="","",COUNTIFS('报价'!$C$5:$C$54,"&gt;="&amp;A51,'报价'!$C$5:$C$54,"&lt;="&amp;B51))</x:f>
      </x:c>
      <x:c r="F51" s="243" t="str">
        <x:f>IF(A51="","",COUNTIFS('报价'!$Q$5:$Q$54,"&gt;="&amp;A51,'报价'!$Q$5:$Q$54,"&lt;="&amp;B51))</x:f>
      </x:c>
      <x:c r="G51" s="234" t="str">
        <x:f>IF(A51="","",SUMIFS('现金流水'!$H$5:$H$104,'现金流水'!$A$5:$A$104,"&gt;="&amp;A51,'现金流水'!$A$5:$A$104,"&lt;="&amp;B51,'现金流水'!$B$5:$B$104,"收入",'现金流水'!$J$5:$J$104,"已到账"))</x:f>
      </x:c>
      <x:c r="H51" s="234" t="str">
        <x:f>IF(A51="","",SUMIFS('现金流水'!$H$5:$H$104,'现金流水'!$A$5:$A$104,"&gt;="&amp;A51,'现金流水'!$A$5:$A$104,"&lt;="&amp;B51,'现金流水'!$B$5:$B$104,"直接成本",'现金流水'!$J$5:$J$104,"已支付")+SUMIFS('现金流水'!$H$5:$H$104,'现金流水'!$A$5:$A$104,"&gt;="&amp;A51,'现金流水'!$A$5:$A$104,"&lt;="&amp;B51,'现金流水'!$B$5:$B$104,"固定成本",'现金流水'!$J$5:$J$104,"已支付")+SUMIFS('现金流水'!$H$5:$H$104,'现金流水'!$A$5:$A$104,"&gt;="&amp;A51,'现金流水'!$A$5:$A$104,"&lt;="&amp;B51,'现金流水'!$B$5:$B$104,"退款",'现金流水'!$J$5:$J$104,"已支付"))</x:f>
      </x:c>
      <x:c r="I51" s="234" t="str">
        <x:f>IF(A51="","",G51-H51)</x:f>
      </x:c>
      <x:c r="J51" s="234" t="str">
        <x:f>IF(A51="","",'说明与目标'!$B$14+SUM($I$18:I51))</x:f>
      </x:c>
      <x:c r="K51" s="234" t="str">
        <x:f>IF(A51="","",ROUND('说明与目标'!$B$8*MIN(1,MAX(0,(B51-'说明与目标'!$B$13)/('说明与目标'!$B$7-'说明与目标'!$B$13))),0))</x:f>
      </x:c>
      <x:c r="L51" s="234" t="str">
        <x:f>IF(A51="","",ROUND(J51-K51,0))</x:f>
      </x:c>
      <x:c r="M51" s="174"/>
      <x:c r="N51" s="174"/>
      <x:c r="O51" s="174"/>
      <x:c r="P51" s="174"/>
    </x:row>
    <x:row r="52">
      <x:c r="A52" s="200" t="str">
        <x:f>IF(A51="","",IF(A51+7&lt;='说明与目标'!$B$7,A51+7,""))</x:f>
      </x:c>
      <x:c r="B52" s="200" t="str">
        <x:f>IF(A52="","",MIN(A52+6,'说明与目标'!$B$7))</x:f>
      </x:c>
      <x:c r="C52" s="243" t="str">
        <x:f>IF(A52="","",COUNTIFS('线索'!$B$5:$B$54,"&gt;="&amp;A52,'线索'!$B$5:$B$54,"&lt;="&amp;B52))</x:f>
      </x:c>
      <x:c r="D52" s="243" t="str">
        <x:f>IF(A52="","",COUNTIFS('线索'!$B$5:$B$54,"&gt;="&amp;A52,'线索'!$B$5:$B$54,"&lt;="&amp;B52,'线索'!$L$5:$L$54,"&lt;&gt;新线索",'线索'!$L$5:$L$54,"&lt;&gt;未成交",'线索'!$L$5:$L$54,"&lt;&gt;暂停",'线索'!$L$5:$L$54,"&lt;&gt;"))</x:f>
      </x:c>
      <x:c r="E52" s="243" t="str">
        <x:f>IF(A52="","",COUNTIFS('报价'!$C$5:$C$54,"&gt;="&amp;A52,'报价'!$C$5:$C$54,"&lt;="&amp;B52))</x:f>
      </x:c>
      <x:c r="F52" s="243" t="str">
        <x:f>IF(A52="","",COUNTIFS('报价'!$Q$5:$Q$54,"&gt;="&amp;A52,'报价'!$Q$5:$Q$54,"&lt;="&amp;B52))</x:f>
      </x:c>
      <x:c r="G52" s="234" t="str">
        <x:f>IF(A52="","",SUMIFS('现金流水'!$H$5:$H$104,'现金流水'!$A$5:$A$104,"&gt;="&amp;A52,'现金流水'!$A$5:$A$104,"&lt;="&amp;B52,'现金流水'!$B$5:$B$104,"收入",'现金流水'!$J$5:$J$104,"已到账"))</x:f>
      </x:c>
      <x:c r="H52" s="234" t="str">
        <x:f>IF(A52="","",SUMIFS('现金流水'!$H$5:$H$104,'现金流水'!$A$5:$A$104,"&gt;="&amp;A52,'现金流水'!$A$5:$A$104,"&lt;="&amp;B52,'现金流水'!$B$5:$B$104,"直接成本",'现金流水'!$J$5:$J$104,"已支付")+SUMIFS('现金流水'!$H$5:$H$104,'现金流水'!$A$5:$A$104,"&gt;="&amp;A52,'现金流水'!$A$5:$A$104,"&lt;="&amp;B52,'现金流水'!$B$5:$B$104,"固定成本",'现金流水'!$J$5:$J$104,"已支付")+SUMIFS('现金流水'!$H$5:$H$104,'现金流水'!$A$5:$A$104,"&gt;="&amp;A52,'现金流水'!$A$5:$A$104,"&lt;="&amp;B52,'现金流水'!$B$5:$B$104,"退款",'现金流水'!$J$5:$J$104,"已支付"))</x:f>
      </x:c>
      <x:c r="I52" s="234" t="str">
        <x:f>IF(A52="","",G52-H52)</x:f>
      </x:c>
      <x:c r="J52" s="234" t="str">
        <x:f>IF(A52="","",'说明与目标'!$B$14+SUM($I$18:I52))</x:f>
      </x:c>
      <x:c r="K52" s="234" t="str">
        <x:f>IF(A52="","",ROUND('说明与目标'!$B$8*MIN(1,MAX(0,(B52-'说明与目标'!$B$13)/('说明与目标'!$B$7-'说明与目标'!$B$13))),0))</x:f>
      </x:c>
      <x:c r="L52" s="234" t="str">
        <x:f>IF(A52="","",ROUND(J52-K52,0))</x:f>
      </x:c>
      <x:c r="M52" s="174"/>
      <x:c r="N52" s="174"/>
      <x:c r="O52" s="174"/>
      <x:c r="P52" s="174"/>
    </x:row>
    <x:row r="53">
      <x:c r="A53" s="200" t="str">
        <x:f>IF(A52="","",IF(A52+7&lt;='说明与目标'!$B$7,A52+7,""))</x:f>
      </x:c>
      <x:c r="B53" s="200" t="str">
        <x:f>IF(A53="","",MIN(A53+6,'说明与目标'!$B$7))</x:f>
      </x:c>
      <x:c r="C53" s="243" t="str">
        <x:f>IF(A53="","",COUNTIFS('线索'!$B$5:$B$54,"&gt;="&amp;A53,'线索'!$B$5:$B$54,"&lt;="&amp;B53))</x:f>
      </x:c>
      <x:c r="D53" s="243" t="str">
        <x:f>IF(A53="","",COUNTIFS('线索'!$B$5:$B$54,"&gt;="&amp;A53,'线索'!$B$5:$B$54,"&lt;="&amp;B53,'线索'!$L$5:$L$54,"&lt;&gt;新线索",'线索'!$L$5:$L$54,"&lt;&gt;未成交",'线索'!$L$5:$L$54,"&lt;&gt;暂停",'线索'!$L$5:$L$54,"&lt;&gt;"))</x:f>
      </x:c>
      <x:c r="E53" s="243" t="str">
        <x:f>IF(A53="","",COUNTIFS('报价'!$C$5:$C$54,"&gt;="&amp;A53,'报价'!$C$5:$C$54,"&lt;="&amp;B53))</x:f>
      </x:c>
      <x:c r="F53" s="243" t="str">
        <x:f>IF(A53="","",COUNTIFS('报价'!$Q$5:$Q$54,"&gt;="&amp;A53,'报价'!$Q$5:$Q$54,"&lt;="&amp;B53))</x:f>
      </x:c>
      <x:c r="G53" s="234" t="str">
        <x:f>IF(A53="","",SUMIFS('现金流水'!$H$5:$H$104,'现金流水'!$A$5:$A$104,"&gt;="&amp;A53,'现金流水'!$A$5:$A$104,"&lt;="&amp;B53,'现金流水'!$B$5:$B$104,"收入",'现金流水'!$J$5:$J$104,"已到账"))</x:f>
      </x:c>
      <x:c r="H53" s="234" t="str">
        <x:f>IF(A53="","",SUMIFS('现金流水'!$H$5:$H$104,'现金流水'!$A$5:$A$104,"&gt;="&amp;A53,'现金流水'!$A$5:$A$104,"&lt;="&amp;B53,'现金流水'!$B$5:$B$104,"直接成本",'现金流水'!$J$5:$J$104,"已支付")+SUMIFS('现金流水'!$H$5:$H$104,'现金流水'!$A$5:$A$104,"&gt;="&amp;A53,'现金流水'!$A$5:$A$104,"&lt;="&amp;B53,'现金流水'!$B$5:$B$104,"固定成本",'现金流水'!$J$5:$J$104,"已支付")+SUMIFS('现金流水'!$H$5:$H$104,'现金流水'!$A$5:$A$104,"&gt;="&amp;A53,'现金流水'!$A$5:$A$104,"&lt;="&amp;B53,'现金流水'!$B$5:$B$104,"退款",'现金流水'!$J$5:$J$104,"已支付"))</x:f>
      </x:c>
      <x:c r="I53" s="234" t="str">
        <x:f>IF(A53="","",G53-H53)</x:f>
      </x:c>
      <x:c r="J53" s="234" t="str">
        <x:f>IF(A53="","",'说明与目标'!$B$14+SUM($I$18:I53))</x:f>
      </x:c>
      <x:c r="K53" s="234" t="str">
        <x:f>IF(A53="","",ROUND('说明与目标'!$B$8*MIN(1,MAX(0,(B53-'说明与目标'!$B$13)/('说明与目标'!$B$7-'说明与目标'!$B$13))),0))</x:f>
      </x:c>
      <x:c r="L53" s="234" t="str">
        <x:f>IF(A53="","",ROUND(J53-K53,0))</x:f>
      </x:c>
      <x:c r="M53" s="174"/>
      <x:c r="N53" s="174"/>
      <x:c r="O53" s="174"/>
      <x:c r="P53" s="174"/>
    </x:row>
    <x:row r="54">
      <x:c r="A54" s="200" t="str">
        <x:f>IF(A53="","",IF(A53+7&lt;='说明与目标'!$B$7,A53+7,""))</x:f>
      </x:c>
      <x:c r="B54" s="200" t="str">
        <x:f>IF(A54="","",MIN(A54+6,'说明与目标'!$B$7))</x:f>
      </x:c>
      <x:c r="C54" s="243" t="str">
        <x:f>IF(A54="","",COUNTIFS('线索'!$B$5:$B$54,"&gt;="&amp;A54,'线索'!$B$5:$B$54,"&lt;="&amp;B54))</x:f>
      </x:c>
      <x:c r="D54" s="243" t="str">
        <x:f>IF(A54="","",COUNTIFS('线索'!$B$5:$B$54,"&gt;="&amp;A54,'线索'!$B$5:$B$54,"&lt;="&amp;B54,'线索'!$L$5:$L$54,"&lt;&gt;新线索",'线索'!$L$5:$L$54,"&lt;&gt;未成交",'线索'!$L$5:$L$54,"&lt;&gt;暂停",'线索'!$L$5:$L$54,"&lt;&gt;"))</x:f>
      </x:c>
      <x:c r="E54" s="243" t="str">
        <x:f>IF(A54="","",COUNTIFS('报价'!$C$5:$C$54,"&gt;="&amp;A54,'报价'!$C$5:$C$54,"&lt;="&amp;B54))</x:f>
      </x:c>
      <x:c r="F54" s="243" t="str">
        <x:f>IF(A54="","",COUNTIFS('报价'!$Q$5:$Q$54,"&gt;="&amp;A54,'报价'!$Q$5:$Q$54,"&lt;="&amp;B54))</x:f>
      </x:c>
      <x:c r="G54" s="234" t="str">
        <x:f>IF(A54="","",SUMIFS('现金流水'!$H$5:$H$104,'现金流水'!$A$5:$A$104,"&gt;="&amp;A54,'现金流水'!$A$5:$A$104,"&lt;="&amp;B54,'现金流水'!$B$5:$B$104,"收入",'现金流水'!$J$5:$J$104,"已到账"))</x:f>
      </x:c>
      <x:c r="H54" s="234" t="str">
        <x:f>IF(A54="","",SUMIFS('现金流水'!$H$5:$H$104,'现金流水'!$A$5:$A$104,"&gt;="&amp;A54,'现金流水'!$A$5:$A$104,"&lt;="&amp;B54,'现金流水'!$B$5:$B$104,"直接成本",'现金流水'!$J$5:$J$104,"已支付")+SUMIFS('现金流水'!$H$5:$H$104,'现金流水'!$A$5:$A$104,"&gt;="&amp;A54,'现金流水'!$A$5:$A$104,"&lt;="&amp;B54,'现金流水'!$B$5:$B$104,"固定成本",'现金流水'!$J$5:$J$104,"已支付")+SUMIFS('现金流水'!$H$5:$H$104,'现金流水'!$A$5:$A$104,"&gt;="&amp;A54,'现金流水'!$A$5:$A$104,"&lt;="&amp;B54,'现金流水'!$B$5:$B$104,"退款",'现金流水'!$J$5:$J$104,"已支付"))</x:f>
      </x:c>
      <x:c r="I54" s="234" t="str">
        <x:f>IF(A54="","",G54-H54)</x:f>
      </x:c>
      <x:c r="J54" s="234" t="str">
        <x:f>IF(A54="","",'说明与目标'!$B$14+SUM($I$18:I54))</x:f>
      </x:c>
      <x:c r="K54" s="234" t="str">
        <x:f>IF(A54="","",ROUND('说明与目标'!$B$8*MIN(1,MAX(0,(B54-'说明与目标'!$B$13)/('说明与目标'!$B$7-'说明与目标'!$B$13))),0))</x:f>
      </x:c>
      <x:c r="L54" s="234" t="str">
        <x:f>IF(A54="","",ROUND(J54-K54,0))</x:f>
      </x:c>
      <x:c r="M54" s="174"/>
      <x:c r="N54" s="174"/>
      <x:c r="O54" s="174"/>
      <x:c r="P54" s="174"/>
    </x:row>
    <x:row r="55">
      <x:c r="A55" s="200" t="str">
        <x:f>IF(A54="","",IF(A54+7&lt;='说明与目标'!$B$7,A54+7,""))</x:f>
      </x:c>
      <x:c r="B55" s="200" t="str">
        <x:f>IF(A55="","",MIN(A55+6,'说明与目标'!$B$7))</x:f>
      </x:c>
      <x:c r="C55" s="243" t="str">
        <x:f>IF(A55="","",COUNTIFS('线索'!$B$5:$B$54,"&gt;="&amp;A55,'线索'!$B$5:$B$54,"&lt;="&amp;B55))</x:f>
      </x:c>
      <x:c r="D55" s="243" t="str">
        <x:f>IF(A55="","",COUNTIFS('线索'!$B$5:$B$54,"&gt;="&amp;A55,'线索'!$B$5:$B$54,"&lt;="&amp;B55,'线索'!$L$5:$L$54,"&lt;&gt;新线索",'线索'!$L$5:$L$54,"&lt;&gt;未成交",'线索'!$L$5:$L$54,"&lt;&gt;暂停",'线索'!$L$5:$L$54,"&lt;&gt;"))</x:f>
      </x:c>
      <x:c r="E55" s="243" t="str">
        <x:f>IF(A55="","",COUNTIFS('报价'!$C$5:$C$54,"&gt;="&amp;A55,'报价'!$C$5:$C$54,"&lt;="&amp;B55))</x:f>
      </x:c>
      <x:c r="F55" s="243" t="str">
        <x:f>IF(A55="","",COUNTIFS('报价'!$Q$5:$Q$54,"&gt;="&amp;A55,'报价'!$Q$5:$Q$54,"&lt;="&amp;B55))</x:f>
      </x:c>
      <x:c r="G55" s="234" t="str">
        <x:f>IF(A55="","",SUMIFS('现金流水'!$H$5:$H$104,'现金流水'!$A$5:$A$104,"&gt;="&amp;A55,'现金流水'!$A$5:$A$104,"&lt;="&amp;B55,'现金流水'!$B$5:$B$104,"收入",'现金流水'!$J$5:$J$104,"已到账"))</x:f>
      </x:c>
      <x:c r="H55" s="234" t="str">
        <x:f>IF(A55="","",SUMIFS('现金流水'!$H$5:$H$104,'现金流水'!$A$5:$A$104,"&gt;="&amp;A55,'现金流水'!$A$5:$A$104,"&lt;="&amp;B55,'现金流水'!$B$5:$B$104,"直接成本",'现金流水'!$J$5:$J$104,"已支付")+SUMIFS('现金流水'!$H$5:$H$104,'现金流水'!$A$5:$A$104,"&gt;="&amp;A55,'现金流水'!$A$5:$A$104,"&lt;="&amp;B55,'现金流水'!$B$5:$B$104,"固定成本",'现金流水'!$J$5:$J$104,"已支付")+SUMIFS('现金流水'!$H$5:$H$104,'现金流水'!$A$5:$A$104,"&gt;="&amp;A55,'现金流水'!$A$5:$A$104,"&lt;="&amp;B55,'现金流水'!$B$5:$B$104,"退款",'现金流水'!$J$5:$J$104,"已支付"))</x:f>
      </x:c>
      <x:c r="I55" s="234" t="str">
        <x:f>IF(A55="","",G55-H55)</x:f>
      </x:c>
      <x:c r="J55" s="234" t="str">
        <x:f>IF(A55="","",'说明与目标'!$B$14+SUM($I$18:I55))</x:f>
      </x:c>
      <x:c r="K55" s="234" t="str">
        <x:f>IF(A55="","",ROUND('说明与目标'!$B$8*MIN(1,MAX(0,(B55-'说明与目标'!$B$13)/('说明与目标'!$B$7-'说明与目标'!$B$13))),0))</x:f>
      </x:c>
      <x:c r="L55" s="234" t="str">
        <x:f>IF(A55="","",ROUND(J55-K55,0))</x:f>
      </x:c>
      <x:c r="M55" s="174"/>
      <x:c r="N55" s="174"/>
      <x:c r="O55" s="174"/>
      <x:c r="P55" s="174"/>
    </x:row>
    <x:row r="56">
      <x:c r="A56" s="200" t="str">
        <x:f>IF(A55="","",IF(A55+7&lt;='说明与目标'!$B$7,A55+7,""))</x:f>
      </x:c>
      <x:c r="B56" s="200" t="str">
        <x:f>IF(A56="","",MIN(A56+6,'说明与目标'!$B$7))</x:f>
      </x:c>
      <x:c r="C56" s="243" t="str">
        <x:f>IF(A56="","",COUNTIFS('线索'!$B$5:$B$54,"&gt;="&amp;A56,'线索'!$B$5:$B$54,"&lt;="&amp;B56))</x:f>
      </x:c>
      <x:c r="D56" s="243" t="str">
        <x:f>IF(A56="","",COUNTIFS('线索'!$B$5:$B$54,"&gt;="&amp;A56,'线索'!$B$5:$B$54,"&lt;="&amp;B56,'线索'!$L$5:$L$54,"&lt;&gt;新线索",'线索'!$L$5:$L$54,"&lt;&gt;未成交",'线索'!$L$5:$L$54,"&lt;&gt;暂停",'线索'!$L$5:$L$54,"&lt;&gt;"))</x:f>
      </x:c>
      <x:c r="E56" s="243" t="str">
        <x:f>IF(A56="","",COUNTIFS('报价'!$C$5:$C$54,"&gt;="&amp;A56,'报价'!$C$5:$C$54,"&lt;="&amp;B56))</x:f>
      </x:c>
      <x:c r="F56" s="243" t="str">
        <x:f>IF(A56="","",COUNTIFS('报价'!$Q$5:$Q$54,"&gt;="&amp;A56,'报价'!$Q$5:$Q$54,"&lt;="&amp;B56))</x:f>
      </x:c>
      <x:c r="G56" s="234" t="str">
        <x:f>IF(A56="","",SUMIFS('现金流水'!$H$5:$H$104,'现金流水'!$A$5:$A$104,"&gt;="&amp;A56,'现金流水'!$A$5:$A$104,"&lt;="&amp;B56,'现金流水'!$B$5:$B$104,"收入",'现金流水'!$J$5:$J$104,"已到账"))</x:f>
      </x:c>
      <x:c r="H56" s="234" t="str">
        <x:f>IF(A56="","",SUMIFS('现金流水'!$H$5:$H$104,'现金流水'!$A$5:$A$104,"&gt;="&amp;A56,'现金流水'!$A$5:$A$104,"&lt;="&amp;B56,'现金流水'!$B$5:$B$104,"直接成本",'现金流水'!$J$5:$J$104,"已支付")+SUMIFS('现金流水'!$H$5:$H$104,'现金流水'!$A$5:$A$104,"&gt;="&amp;A56,'现金流水'!$A$5:$A$104,"&lt;="&amp;B56,'现金流水'!$B$5:$B$104,"固定成本",'现金流水'!$J$5:$J$104,"已支付")+SUMIFS('现金流水'!$H$5:$H$104,'现金流水'!$A$5:$A$104,"&gt;="&amp;A56,'现金流水'!$A$5:$A$104,"&lt;="&amp;B56,'现金流水'!$B$5:$B$104,"退款",'现金流水'!$J$5:$J$104,"已支付"))</x:f>
      </x:c>
      <x:c r="I56" s="234" t="str">
        <x:f>IF(A56="","",G56-H56)</x:f>
      </x:c>
      <x:c r="J56" s="234" t="str">
        <x:f>IF(A56="","",'说明与目标'!$B$14+SUM($I$18:I56))</x:f>
      </x:c>
      <x:c r="K56" s="234" t="str">
        <x:f>IF(A56="","",ROUND('说明与目标'!$B$8*MIN(1,MAX(0,(B56-'说明与目标'!$B$13)/('说明与目标'!$B$7-'说明与目标'!$B$13))),0))</x:f>
      </x:c>
      <x:c r="L56" s="234" t="str">
        <x:f>IF(A56="","",ROUND(J56-K56,0))</x:f>
      </x:c>
      <x:c r="M56" s="174"/>
      <x:c r="N56" s="174"/>
      <x:c r="O56" s="174"/>
      <x:c r="P56" s="174"/>
    </x:row>
    <x:row r="57">
      <x:c r="A57" s="200" t="str">
        <x:f>IF(A56="","",IF(A56+7&lt;='说明与目标'!$B$7,A56+7,""))</x:f>
      </x:c>
      <x:c r="B57" s="200" t="str">
        <x:f>IF(A57="","",MIN(A57+6,'说明与目标'!$B$7))</x:f>
      </x:c>
      <x:c r="C57" s="243" t="str">
        <x:f>IF(A57="","",COUNTIFS('线索'!$B$5:$B$54,"&gt;="&amp;A57,'线索'!$B$5:$B$54,"&lt;="&amp;B57))</x:f>
      </x:c>
      <x:c r="D57" s="243" t="str">
        <x:f>IF(A57="","",COUNTIFS('线索'!$B$5:$B$54,"&gt;="&amp;A57,'线索'!$B$5:$B$54,"&lt;="&amp;B57,'线索'!$L$5:$L$54,"&lt;&gt;新线索",'线索'!$L$5:$L$54,"&lt;&gt;未成交",'线索'!$L$5:$L$54,"&lt;&gt;暂停",'线索'!$L$5:$L$54,"&lt;&gt;"))</x:f>
      </x:c>
      <x:c r="E57" s="243" t="str">
        <x:f>IF(A57="","",COUNTIFS('报价'!$C$5:$C$54,"&gt;="&amp;A57,'报价'!$C$5:$C$54,"&lt;="&amp;B57))</x:f>
      </x:c>
      <x:c r="F57" s="243" t="str">
        <x:f>IF(A57="","",COUNTIFS('报价'!$Q$5:$Q$54,"&gt;="&amp;A57,'报价'!$Q$5:$Q$54,"&lt;="&amp;B57))</x:f>
      </x:c>
      <x:c r="G57" s="234" t="str">
        <x:f>IF(A57="","",SUMIFS('现金流水'!$H$5:$H$104,'现金流水'!$A$5:$A$104,"&gt;="&amp;A57,'现金流水'!$A$5:$A$104,"&lt;="&amp;B57,'现金流水'!$B$5:$B$104,"收入",'现金流水'!$J$5:$J$104,"已到账"))</x:f>
      </x:c>
      <x:c r="H57" s="234" t="str">
        <x:f>IF(A57="","",SUMIFS('现金流水'!$H$5:$H$104,'现金流水'!$A$5:$A$104,"&gt;="&amp;A57,'现金流水'!$A$5:$A$104,"&lt;="&amp;B57,'现金流水'!$B$5:$B$104,"直接成本",'现金流水'!$J$5:$J$104,"已支付")+SUMIFS('现金流水'!$H$5:$H$104,'现金流水'!$A$5:$A$104,"&gt;="&amp;A57,'现金流水'!$A$5:$A$104,"&lt;="&amp;B57,'现金流水'!$B$5:$B$104,"固定成本",'现金流水'!$J$5:$J$104,"已支付")+SUMIFS('现金流水'!$H$5:$H$104,'现金流水'!$A$5:$A$104,"&gt;="&amp;A57,'现金流水'!$A$5:$A$104,"&lt;="&amp;B57,'现金流水'!$B$5:$B$104,"退款",'现金流水'!$J$5:$J$104,"已支付"))</x:f>
      </x:c>
      <x:c r="I57" s="234" t="str">
        <x:f>IF(A57="","",G57-H57)</x:f>
      </x:c>
      <x:c r="J57" s="234" t="str">
        <x:f>IF(A57="","",'说明与目标'!$B$14+SUM($I$18:I57))</x:f>
      </x:c>
      <x:c r="K57" s="234" t="str">
        <x:f>IF(A57="","",ROUND('说明与目标'!$B$8*MIN(1,MAX(0,(B57-'说明与目标'!$B$13)/('说明与目标'!$B$7-'说明与目标'!$B$13))),0))</x:f>
      </x:c>
      <x:c r="L57" s="234" t="str">
        <x:f>IF(A57="","",ROUND(J57-K57,0))</x:f>
      </x:c>
      <x:c r="M57" s="174"/>
      <x:c r="N57" s="174"/>
      <x:c r="O57" s="174"/>
      <x:c r="P57" s="174"/>
    </x:row>
    <x:row r="58">
      <x:c r="A58" s="200" t="str">
        <x:f>IF(A57="","",IF(A57+7&lt;='说明与目标'!$B$7,A57+7,""))</x:f>
      </x:c>
      <x:c r="B58" s="200" t="str">
        <x:f>IF(A58="","",MIN(A58+6,'说明与目标'!$B$7))</x:f>
      </x:c>
      <x:c r="C58" s="243" t="str">
        <x:f>IF(A58="","",COUNTIFS('线索'!$B$5:$B$54,"&gt;="&amp;A58,'线索'!$B$5:$B$54,"&lt;="&amp;B58))</x:f>
      </x:c>
      <x:c r="D58" s="243" t="str">
        <x:f>IF(A58="","",COUNTIFS('线索'!$B$5:$B$54,"&gt;="&amp;A58,'线索'!$B$5:$B$54,"&lt;="&amp;B58,'线索'!$L$5:$L$54,"&lt;&gt;新线索",'线索'!$L$5:$L$54,"&lt;&gt;未成交",'线索'!$L$5:$L$54,"&lt;&gt;暂停",'线索'!$L$5:$L$54,"&lt;&gt;"))</x:f>
      </x:c>
      <x:c r="E58" s="243" t="str">
        <x:f>IF(A58="","",COUNTIFS('报价'!$C$5:$C$54,"&gt;="&amp;A58,'报价'!$C$5:$C$54,"&lt;="&amp;B58))</x:f>
      </x:c>
      <x:c r="F58" s="243" t="str">
        <x:f>IF(A58="","",COUNTIFS('报价'!$Q$5:$Q$54,"&gt;="&amp;A58,'报价'!$Q$5:$Q$54,"&lt;="&amp;B58))</x:f>
      </x:c>
      <x:c r="G58" s="234" t="str">
        <x:f>IF(A58="","",SUMIFS('现金流水'!$H$5:$H$104,'现金流水'!$A$5:$A$104,"&gt;="&amp;A58,'现金流水'!$A$5:$A$104,"&lt;="&amp;B58,'现金流水'!$B$5:$B$104,"收入",'现金流水'!$J$5:$J$104,"已到账"))</x:f>
      </x:c>
      <x:c r="H58" s="234" t="str">
        <x:f>IF(A58="","",SUMIFS('现金流水'!$H$5:$H$104,'现金流水'!$A$5:$A$104,"&gt;="&amp;A58,'现金流水'!$A$5:$A$104,"&lt;="&amp;B58,'现金流水'!$B$5:$B$104,"直接成本",'现金流水'!$J$5:$J$104,"已支付")+SUMIFS('现金流水'!$H$5:$H$104,'现金流水'!$A$5:$A$104,"&gt;="&amp;A58,'现金流水'!$A$5:$A$104,"&lt;="&amp;B58,'现金流水'!$B$5:$B$104,"固定成本",'现金流水'!$J$5:$J$104,"已支付")+SUMIFS('现金流水'!$H$5:$H$104,'现金流水'!$A$5:$A$104,"&gt;="&amp;A58,'现金流水'!$A$5:$A$104,"&lt;="&amp;B58,'现金流水'!$B$5:$B$104,"退款",'现金流水'!$J$5:$J$104,"已支付"))</x:f>
      </x:c>
      <x:c r="I58" s="234" t="str">
        <x:f>IF(A58="","",G58-H58)</x:f>
      </x:c>
      <x:c r="J58" s="234" t="str">
        <x:f>IF(A58="","",'说明与目标'!$B$14+SUM($I$18:I58))</x:f>
      </x:c>
      <x:c r="K58" s="234" t="str">
        <x:f>IF(A58="","",ROUND('说明与目标'!$B$8*MIN(1,MAX(0,(B58-'说明与目标'!$B$13)/('说明与目标'!$B$7-'说明与目标'!$B$13))),0))</x:f>
      </x:c>
      <x:c r="L58" s="234" t="str">
        <x:f>IF(A58="","",ROUND(J58-K58,0))</x:f>
      </x:c>
      <x:c r="M58" s="174"/>
      <x:c r="N58" s="174"/>
      <x:c r="O58" s="174"/>
      <x:c r="P58" s="174"/>
    </x:row>
    <x:row r="59">
      <x:c r="A59" s="200" t="str">
        <x:f>IF(A58="","",IF(A58+7&lt;='说明与目标'!$B$7,A58+7,""))</x:f>
      </x:c>
      <x:c r="B59" s="200" t="str">
        <x:f>IF(A59="","",MIN(A59+6,'说明与目标'!$B$7))</x:f>
      </x:c>
      <x:c r="C59" s="243" t="str">
        <x:f>IF(A59="","",COUNTIFS('线索'!$B$5:$B$54,"&gt;="&amp;A59,'线索'!$B$5:$B$54,"&lt;="&amp;B59))</x:f>
      </x:c>
      <x:c r="D59" s="243" t="str">
        <x:f>IF(A59="","",COUNTIFS('线索'!$B$5:$B$54,"&gt;="&amp;A59,'线索'!$B$5:$B$54,"&lt;="&amp;B59,'线索'!$L$5:$L$54,"&lt;&gt;新线索",'线索'!$L$5:$L$54,"&lt;&gt;未成交",'线索'!$L$5:$L$54,"&lt;&gt;暂停",'线索'!$L$5:$L$54,"&lt;&gt;"))</x:f>
      </x:c>
      <x:c r="E59" s="243" t="str">
        <x:f>IF(A59="","",COUNTIFS('报价'!$C$5:$C$54,"&gt;="&amp;A59,'报价'!$C$5:$C$54,"&lt;="&amp;B59))</x:f>
      </x:c>
      <x:c r="F59" s="243" t="str">
        <x:f>IF(A59="","",COUNTIFS('报价'!$Q$5:$Q$54,"&gt;="&amp;A59,'报价'!$Q$5:$Q$54,"&lt;="&amp;B59))</x:f>
      </x:c>
      <x:c r="G59" s="234" t="str">
        <x:f>IF(A59="","",SUMIFS('现金流水'!$H$5:$H$104,'现金流水'!$A$5:$A$104,"&gt;="&amp;A59,'现金流水'!$A$5:$A$104,"&lt;="&amp;B59,'现金流水'!$B$5:$B$104,"收入",'现金流水'!$J$5:$J$104,"已到账"))</x:f>
      </x:c>
      <x:c r="H59" s="234" t="str">
        <x:f>IF(A59="","",SUMIFS('现金流水'!$H$5:$H$104,'现金流水'!$A$5:$A$104,"&gt;="&amp;A59,'现金流水'!$A$5:$A$104,"&lt;="&amp;B59,'现金流水'!$B$5:$B$104,"直接成本",'现金流水'!$J$5:$J$104,"已支付")+SUMIFS('现金流水'!$H$5:$H$104,'现金流水'!$A$5:$A$104,"&gt;="&amp;A59,'现金流水'!$A$5:$A$104,"&lt;="&amp;B59,'现金流水'!$B$5:$B$104,"固定成本",'现金流水'!$J$5:$J$104,"已支付")+SUMIFS('现金流水'!$H$5:$H$104,'现金流水'!$A$5:$A$104,"&gt;="&amp;A59,'现金流水'!$A$5:$A$104,"&lt;="&amp;B59,'现金流水'!$B$5:$B$104,"退款",'现金流水'!$J$5:$J$104,"已支付"))</x:f>
      </x:c>
      <x:c r="I59" s="234" t="str">
        <x:f>IF(A59="","",G59-H59)</x:f>
      </x:c>
      <x:c r="J59" s="234" t="str">
        <x:f>IF(A59="","",'说明与目标'!$B$14+SUM($I$18:I59))</x:f>
      </x:c>
      <x:c r="K59" s="234" t="str">
        <x:f>IF(A59="","",ROUND('说明与目标'!$B$8*MIN(1,MAX(0,(B59-'说明与目标'!$B$13)/('说明与目标'!$B$7-'说明与目标'!$B$13))),0))</x:f>
      </x:c>
      <x:c r="L59" s="234" t="str">
        <x:f>IF(A59="","",ROUND(J59-K59,0))</x:f>
      </x:c>
      <x:c r="M59" s="174"/>
      <x:c r="N59" s="174"/>
      <x:c r="O59" s="174"/>
      <x:c r="P59" s="174"/>
    </x:row>
    <x:row r="60">
      <x:c r="A60" s="200" t="str">
        <x:f>IF(A59="","",IF(A59+7&lt;='说明与目标'!$B$7,A59+7,""))</x:f>
      </x:c>
      <x:c r="B60" s="200" t="str">
        <x:f>IF(A60="","",MIN(A60+6,'说明与目标'!$B$7))</x:f>
      </x:c>
      <x:c r="C60" s="243" t="str">
        <x:f>IF(A60="","",COUNTIFS('线索'!$B$5:$B$54,"&gt;="&amp;A60,'线索'!$B$5:$B$54,"&lt;="&amp;B60))</x:f>
      </x:c>
      <x:c r="D60" s="243" t="str">
        <x:f>IF(A60="","",COUNTIFS('线索'!$B$5:$B$54,"&gt;="&amp;A60,'线索'!$B$5:$B$54,"&lt;="&amp;B60,'线索'!$L$5:$L$54,"&lt;&gt;新线索",'线索'!$L$5:$L$54,"&lt;&gt;未成交",'线索'!$L$5:$L$54,"&lt;&gt;暂停",'线索'!$L$5:$L$54,"&lt;&gt;"))</x:f>
      </x:c>
      <x:c r="E60" s="243" t="str">
        <x:f>IF(A60="","",COUNTIFS('报价'!$C$5:$C$54,"&gt;="&amp;A60,'报价'!$C$5:$C$54,"&lt;="&amp;B60))</x:f>
      </x:c>
      <x:c r="F60" s="243" t="str">
        <x:f>IF(A60="","",COUNTIFS('报价'!$Q$5:$Q$54,"&gt;="&amp;A60,'报价'!$Q$5:$Q$54,"&lt;="&amp;B60))</x:f>
      </x:c>
      <x:c r="G60" s="234" t="str">
        <x:f>IF(A60="","",SUMIFS('现金流水'!$H$5:$H$104,'现金流水'!$A$5:$A$104,"&gt;="&amp;A60,'现金流水'!$A$5:$A$104,"&lt;="&amp;B60,'现金流水'!$B$5:$B$104,"收入",'现金流水'!$J$5:$J$104,"已到账"))</x:f>
      </x:c>
      <x:c r="H60" s="234" t="str">
        <x:f>IF(A60="","",SUMIFS('现金流水'!$H$5:$H$104,'现金流水'!$A$5:$A$104,"&gt;="&amp;A60,'现金流水'!$A$5:$A$104,"&lt;="&amp;B60,'现金流水'!$B$5:$B$104,"直接成本",'现金流水'!$J$5:$J$104,"已支付")+SUMIFS('现金流水'!$H$5:$H$104,'现金流水'!$A$5:$A$104,"&gt;="&amp;A60,'现金流水'!$A$5:$A$104,"&lt;="&amp;B60,'现金流水'!$B$5:$B$104,"固定成本",'现金流水'!$J$5:$J$104,"已支付")+SUMIFS('现金流水'!$H$5:$H$104,'现金流水'!$A$5:$A$104,"&gt;="&amp;A60,'现金流水'!$A$5:$A$104,"&lt;="&amp;B60,'现金流水'!$B$5:$B$104,"退款",'现金流水'!$J$5:$J$104,"已支付"))</x:f>
      </x:c>
      <x:c r="I60" s="234" t="str">
        <x:f>IF(A60="","",G60-H60)</x:f>
      </x:c>
      <x:c r="J60" s="234" t="str">
        <x:f>IF(A60="","",'说明与目标'!$B$14+SUM($I$18:I60))</x:f>
      </x:c>
      <x:c r="K60" s="234" t="str">
        <x:f>IF(A60="","",ROUND('说明与目标'!$B$8*MIN(1,MAX(0,(B60-'说明与目标'!$B$13)/('说明与目标'!$B$7-'说明与目标'!$B$13))),0))</x:f>
      </x:c>
      <x:c r="L60" s="234" t="str">
        <x:f>IF(A60="","",ROUND(J60-K60,0))</x:f>
      </x:c>
      <x:c r="M60" s="174"/>
      <x:c r="N60" s="174"/>
      <x:c r="O60" s="174"/>
      <x:c r="P60" s="174"/>
    </x:row>
    <x:row r="61">
      <x:c r="A61" s="200" t="str">
        <x:f>IF(A60="","",IF(A60+7&lt;='说明与目标'!$B$7,A60+7,""))</x:f>
      </x:c>
      <x:c r="B61" s="200" t="str">
        <x:f>IF(A61="","",MIN(A61+6,'说明与目标'!$B$7))</x:f>
      </x:c>
      <x:c r="C61" s="243" t="str">
        <x:f>IF(A61="","",COUNTIFS('线索'!$B$5:$B$54,"&gt;="&amp;A61,'线索'!$B$5:$B$54,"&lt;="&amp;B61))</x:f>
      </x:c>
      <x:c r="D61" s="243" t="str">
        <x:f>IF(A61="","",COUNTIFS('线索'!$B$5:$B$54,"&gt;="&amp;A61,'线索'!$B$5:$B$54,"&lt;="&amp;B61,'线索'!$L$5:$L$54,"&lt;&gt;新线索",'线索'!$L$5:$L$54,"&lt;&gt;未成交",'线索'!$L$5:$L$54,"&lt;&gt;暂停",'线索'!$L$5:$L$54,"&lt;&gt;"))</x:f>
      </x:c>
      <x:c r="E61" s="243" t="str">
        <x:f>IF(A61="","",COUNTIFS('报价'!$C$5:$C$54,"&gt;="&amp;A61,'报价'!$C$5:$C$54,"&lt;="&amp;B61))</x:f>
      </x:c>
      <x:c r="F61" s="243" t="str">
        <x:f>IF(A61="","",COUNTIFS('报价'!$Q$5:$Q$54,"&gt;="&amp;A61,'报价'!$Q$5:$Q$54,"&lt;="&amp;B61))</x:f>
      </x:c>
      <x:c r="G61" s="234" t="str">
        <x:f>IF(A61="","",SUMIFS('现金流水'!$H$5:$H$104,'现金流水'!$A$5:$A$104,"&gt;="&amp;A61,'现金流水'!$A$5:$A$104,"&lt;="&amp;B61,'现金流水'!$B$5:$B$104,"收入",'现金流水'!$J$5:$J$104,"已到账"))</x:f>
      </x:c>
      <x:c r="H61" s="234" t="str">
        <x:f>IF(A61="","",SUMIFS('现金流水'!$H$5:$H$104,'现金流水'!$A$5:$A$104,"&gt;="&amp;A61,'现金流水'!$A$5:$A$104,"&lt;="&amp;B61,'现金流水'!$B$5:$B$104,"直接成本",'现金流水'!$J$5:$J$104,"已支付")+SUMIFS('现金流水'!$H$5:$H$104,'现金流水'!$A$5:$A$104,"&gt;="&amp;A61,'现金流水'!$A$5:$A$104,"&lt;="&amp;B61,'现金流水'!$B$5:$B$104,"固定成本",'现金流水'!$J$5:$J$104,"已支付")+SUMIFS('现金流水'!$H$5:$H$104,'现金流水'!$A$5:$A$104,"&gt;="&amp;A61,'现金流水'!$A$5:$A$104,"&lt;="&amp;B61,'现金流水'!$B$5:$B$104,"退款",'现金流水'!$J$5:$J$104,"已支付"))</x:f>
      </x:c>
      <x:c r="I61" s="234" t="str">
        <x:f>IF(A61="","",G61-H61)</x:f>
      </x:c>
      <x:c r="J61" s="234" t="str">
        <x:f>IF(A61="","",'说明与目标'!$B$14+SUM($I$18:I61))</x:f>
      </x:c>
      <x:c r="K61" s="234" t="str">
        <x:f>IF(A61="","",ROUND('说明与目标'!$B$8*MIN(1,MAX(0,(B61-'说明与目标'!$B$13)/('说明与目标'!$B$7-'说明与目标'!$B$13))),0))</x:f>
      </x:c>
      <x:c r="L61" s="234" t="str">
        <x:f>IF(A61="","",ROUND(J61-K61,0))</x:f>
      </x:c>
      <x:c r="M61" s="174"/>
      <x:c r="N61" s="174"/>
      <x:c r="O61" s="174"/>
      <x:c r="P61" s="174"/>
    </x:row>
    <x:row r="62">
      <x:c r="A62" s="200" t="str">
        <x:f>IF(A61="","",IF(A61+7&lt;='说明与目标'!$B$7,A61+7,""))</x:f>
      </x:c>
      <x:c r="B62" s="200" t="str">
        <x:f>IF(A62="","",MIN(A62+6,'说明与目标'!$B$7))</x:f>
      </x:c>
      <x:c r="C62" s="243" t="str">
        <x:f>IF(A62="","",COUNTIFS('线索'!$B$5:$B$54,"&gt;="&amp;A62,'线索'!$B$5:$B$54,"&lt;="&amp;B62))</x:f>
      </x:c>
      <x:c r="D62" s="243" t="str">
        <x:f>IF(A62="","",COUNTIFS('线索'!$B$5:$B$54,"&gt;="&amp;A62,'线索'!$B$5:$B$54,"&lt;="&amp;B62,'线索'!$L$5:$L$54,"&lt;&gt;新线索",'线索'!$L$5:$L$54,"&lt;&gt;未成交",'线索'!$L$5:$L$54,"&lt;&gt;暂停",'线索'!$L$5:$L$54,"&lt;&gt;"))</x:f>
      </x:c>
      <x:c r="E62" s="243" t="str">
        <x:f>IF(A62="","",COUNTIFS('报价'!$C$5:$C$54,"&gt;="&amp;A62,'报价'!$C$5:$C$54,"&lt;="&amp;B62))</x:f>
      </x:c>
      <x:c r="F62" s="243" t="str">
        <x:f>IF(A62="","",COUNTIFS('报价'!$Q$5:$Q$54,"&gt;="&amp;A62,'报价'!$Q$5:$Q$54,"&lt;="&amp;B62))</x:f>
      </x:c>
      <x:c r="G62" s="234" t="str">
        <x:f>IF(A62="","",SUMIFS('现金流水'!$H$5:$H$104,'现金流水'!$A$5:$A$104,"&gt;="&amp;A62,'现金流水'!$A$5:$A$104,"&lt;="&amp;B62,'现金流水'!$B$5:$B$104,"收入",'现金流水'!$J$5:$J$104,"已到账"))</x:f>
      </x:c>
      <x:c r="H62" s="234" t="str">
        <x:f>IF(A62="","",SUMIFS('现金流水'!$H$5:$H$104,'现金流水'!$A$5:$A$104,"&gt;="&amp;A62,'现金流水'!$A$5:$A$104,"&lt;="&amp;B62,'现金流水'!$B$5:$B$104,"直接成本",'现金流水'!$J$5:$J$104,"已支付")+SUMIFS('现金流水'!$H$5:$H$104,'现金流水'!$A$5:$A$104,"&gt;="&amp;A62,'现金流水'!$A$5:$A$104,"&lt;="&amp;B62,'现金流水'!$B$5:$B$104,"固定成本",'现金流水'!$J$5:$J$104,"已支付")+SUMIFS('现金流水'!$H$5:$H$104,'现金流水'!$A$5:$A$104,"&gt;="&amp;A62,'现金流水'!$A$5:$A$104,"&lt;="&amp;B62,'现金流水'!$B$5:$B$104,"退款",'现金流水'!$J$5:$J$104,"已支付"))</x:f>
      </x:c>
      <x:c r="I62" s="234" t="str">
        <x:f>IF(A62="","",G62-H62)</x:f>
      </x:c>
      <x:c r="J62" s="234" t="str">
        <x:f>IF(A62="","",'说明与目标'!$B$14+SUM($I$18:I62))</x:f>
      </x:c>
      <x:c r="K62" s="234" t="str">
        <x:f>IF(A62="","",ROUND('说明与目标'!$B$8*MIN(1,MAX(0,(B62-'说明与目标'!$B$13)/('说明与目标'!$B$7-'说明与目标'!$B$13))),0))</x:f>
      </x:c>
      <x:c r="L62" s="234" t="str">
        <x:f>IF(A62="","",ROUND(J62-K62,0))</x:f>
      </x:c>
      <x:c r="M62" s="174"/>
      <x:c r="N62" s="174"/>
      <x:c r="O62" s="174"/>
      <x:c r="P62" s="174"/>
    </x:row>
    <x:row r="63">
      <x:c r="A63" s="200" t="str">
        <x:f>IF(A62="","",IF(A62+7&lt;='说明与目标'!$B$7,A62+7,""))</x:f>
      </x:c>
      <x:c r="B63" s="200" t="str">
        <x:f>IF(A63="","",MIN(A63+6,'说明与目标'!$B$7))</x:f>
      </x:c>
      <x:c r="C63" s="243" t="str">
        <x:f>IF(A63="","",COUNTIFS('线索'!$B$5:$B$54,"&gt;="&amp;A63,'线索'!$B$5:$B$54,"&lt;="&amp;B63))</x:f>
      </x:c>
      <x:c r="D63" s="243" t="str">
        <x:f>IF(A63="","",COUNTIFS('线索'!$B$5:$B$54,"&gt;="&amp;A63,'线索'!$B$5:$B$54,"&lt;="&amp;B63,'线索'!$L$5:$L$54,"&lt;&gt;新线索",'线索'!$L$5:$L$54,"&lt;&gt;未成交",'线索'!$L$5:$L$54,"&lt;&gt;暂停",'线索'!$L$5:$L$54,"&lt;&gt;"))</x:f>
      </x:c>
      <x:c r="E63" s="243" t="str">
        <x:f>IF(A63="","",COUNTIFS('报价'!$C$5:$C$54,"&gt;="&amp;A63,'报价'!$C$5:$C$54,"&lt;="&amp;B63))</x:f>
      </x:c>
      <x:c r="F63" s="243" t="str">
        <x:f>IF(A63="","",COUNTIFS('报价'!$Q$5:$Q$54,"&gt;="&amp;A63,'报价'!$Q$5:$Q$54,"&lt;="&amp;B63))</x:f>
      </x:c>
      <x:c r="G63" s="234" t="str">
        <x:f>IF(A63="","",SUMIFS('现金流水'!$H$5:$H$104,'现金流水'!$A$5:$A$104,"&gt;="&amp;A63,'现金流水'!$A$5:$A$104,"&lt;="&amp;B63,'现金流水'!$B$5:$B$104,"收入",'现金流水'!$J$5:$J$104,"已到账"))</x:f>
      </x:c>
      <x:c r="H63" s="234" t="str">
        <x:f>IF(A63="","",SUMIFS('现金流水'!$H$5:$H$104,'现金流水'!$A$5:$A$104,"&gt;="&amp;A63,'现金流水'!$A$5:$A$104,"&lt;="&amp;B63,'现金流水'!$B$5:$B$104,"直接成本",'现金流水'!$J$5:$J$104,"已支付")+SUMIFS('现金流水'!$H$5:$H$104,'现金流水'!$A$5:$A$104,"&gt;="&amp;A63,'现金流水'!$A$5:$A$104,"&lt;="&amp;B63,'现金流水'!$B$5:$B$104,"固定成本",'现金流水'!$J$5:$J$104,"已支付")+SUMIFS('现金流水'!$H$5:$H$104,'现金流水'!$A$5:$A$104,"&gt;="&amp;A63,'现金流水'!$A$5:$A$104,"&lt;="&amp;B63,'现金流水'!$B$5:$B$104,"退款",'现金流水'!$J$5:$J$104,"已支付"))</x:f>
      </x:c>
      <x:c r="I63" s="234" t="str">
        <x:f>IF(A63="","",G63-H63)</x:f>
      </x:c>
      <x:c r="J63" s="234" t="str">
        <x:f>IF(A63="","",'说明与目标'!$B$14+SUM($I$18:I63))</x:f>
      </x:c>
      <x:c r="K63" s="234" t="str">
        <x:f>IF(A63="","",ROUND('说明与目标'!$B$8*MIN(1,MAX(0,(B63-'说明与目标'!$B$13)/('说明与目标'!$B$7-'说明与目标'!$B$13))),0))</x:f>
      </x:c>
      <x:c r="L63" s="234" t="str">
        <x:f>IF(A63="","",ROUND(J63-K63,0))</x:f>
      </x:c>
      <x:c r="M63" s="174"/>
      <x:c r="N63" s="174"/>
      <x:c r="O63" s="174"/>
      <x:c r="P63" s="174"/>
    </x:row>
    <x:row r="64">
      <x:c r="A64" s="200" t="str">
        <x:f>IF(A63="","",IF(A63+7&lt;='说明与目标'!$B$7,A63+7,""))</x:f>
      </x:c>
      <x:c r="B64" s="200" t="str">
        <x:f>IF(A64="","",MIN(A64+6,'说明与目标'!$B$7))</x:f>
      </x:c>
      <x:c r="C64" s="243" t="str">
        <x:f>IF(A64="","",COUNTIFS('线索'!$B$5:$B$54,"&gt;="&amp;A64,'线索'!$B$5:$B$54,"&lt;="&amp;B64))</x:f>
      </x:c>
      <x:c r="D64" s="243" t="str">
        <x:f>IF(A64="","",COUNTIFS('线索'!$B$5:$B$54,"&gt;="&amp;A64,'线索'!$B$5:$B$54,"&lt;="&amp;B64,'线索'!$L$5:$L$54,"&lt;&gt;新线索",'线索'!$L$5:$L$54,"&lt;&gt;未成交",'线索'!$L$5:$L$54,"&lt;&gt;暂停",'线索'!$L$5:$L$54,"&lt;&gt;"))</x:f>
      </x:c>
      <x:c r="E64" s="243" t="str">
        <x:f>IF(A64="","",COUNTIFS('报价'!$C$5:$C$54,"&gt;="&amp;A64,'报价'!$C$5:$C$54,"&lt;="&amp;B64))</x:f>
      </x:c>
      <x:c r="F64" s="243" t="str">
        <x:f>IF(A64="","",COUNTIFS('报价'!$Q$5:$Q$54,"&gt;="&amp;A64,'报价'!$Q$5:$Q$54,"&lt;="&amp;B64))</x:f>
      </x:c>
      <x:c r="G64" s="234" t="str">
        <x:f>IF(A64="","",SUMIFS('现金流水'!$H$5:$H$104,'现金流水'!$A$5:$A$104,"&gt;="&amp;A64,'现金流水'!$A$5:$A$104,"&lt;="&amp;B64,'现金流水'!$B$5:$B$104,"收入",'现金流水'!$J$5:$J$104,"已到账"))</x:f>
      </x:c>
      <x:c r="H64" s="234" t="str">
        <x:f>IF(A64="","",SUMIFS('现金流水'!$H$5:$H$104,'现金流水'!$A$5:$A$104,"&gt;="&amp;A64,'现金流水'!$A$5:$A$104,"&lt;="&amp;B64,'现金流水'!$B$5:$B$104,"直接成本",'现金流水'!$J$5:$J$104,"已支付")+SUMIFS('现金流水'!$H$5:$H$104,'现金流水'!$A$5:$A$104,"&gt;="&amp;A64,'现金流水'!$A$5:$A$104,"&lt;="&amp;B64,'现金流水'!$B$5:$B$104,"固定成本",'现金流水'!$J$5:$J$104,"已支付")+SUMIFS('现金流水'!$H$5:$H$104,'现金流水'!$A$5:$A$104,"&gt;="&amp;A64,'现金流水'!$A$5:$A$104,"&lt;="&amp;B64,'现金流水'!$B$5:$B$104,"退款",'现金流水'!$J$5:$J$104,"已支付"))</x:f>
      </x:c>
      <x:c r="I64" s="234" t="str">
        <x:f>IF(A64="","",G64-H64)</x:f>
      </x:c>
      <x:c r="J64" s="234" t="str">
        <x:f>IF(A64="","",'说明与目标'!$B$14+SUM($I$18:I64))</x:f>
      </x:c>
      <x:c r="K64" s="234" t="str">
        <x:f>IF(A64="","",ROUND('说明与目标'!$B$8*MIN(1,MAX(0,(B64-'说明与目标'!$B$13)/('说明与目标'!$B$7-'说明与目标'!$B$13))),0))</x:f>
      </x:c>
      <x:c r="L64" s="234" t="str">
        <x:f>IF(A64="","",ROUND(J64-K64,0))</x:f>
      </x:c>
      <x:c r="M64" s="174"/>
      <x:c r="N64" s="174"/>
      <x:c r="O64" s="174"/>
      <x:c r="P64" s="174"/>
    </x:row>
    <x:row r="65">
      <x:c r="A65" s="200" t="str">
        <x:f>IF(A64="","",IF(A64+7&lt;='说明与目标'!$B$7,A64+7,""))</x:f>
      </x:c>
      <x:c r="B65" s="200" t="str">
        <x:f>IF(A65="","",MIN(A65+6,'说明与目标'!$B$7))</x:f>
      </x:c>
      <x:c r="C65" s="243" t="str">
        <x:f>IF(A65="","",COUNTIFS('线索'!$B$5:$B$54,"&gt;="&amp;A65,'线索'!$B$5:$B$54,"&lt;="&amp;B65))</x:f>
      </x:c>
      <x:c r="D65" s="243" t="str">
        <x:f>IF(A65="","",COUNTIFS('线索'!$B$5:$B$54,"&gt;="&amp;A65,'线索'!$B$5:$B$54,"&lt;="&amp;B65,'线索'!$L$5:$L$54,"&lt;&gt;新线索",'线索'!$L$5:$L$54,"&lt;&gt;未成交",'线索'!$L$5:$L$54,"&lt;&gt;暂停",'线索'!$L$5:$L$54,"&lt;&gt;"))</x:f>
      </x:c>
      <x:c r="E65" s="243" t="str">
        <x:f>IF(A65="","",COUNTIFS('报价'!$C$5:$C$54,"&gt;="&amp;A65,'报价'!$C$5:$C$54,"&lt;="&amp;B65))</x:f>
      </x:c>
      <x:c r="F65" s="243" t="str">
        <x:f>IF(A65="","",COUNTIFS('报价'!$Q$5:$Q$54,"&gt;="&amp;A65,'报价'!$Q$5:$Q$54,"&lt;="&amp;B65))</x:f>
      </x:c>
      <x:c r="G65" s="234" t="str">
        <x:f>IF(A65="","",SUMIFS('现金流水'!$H$5:$H$104,'现金流水'!$A$5:$A$104,"&gt;="&amp;A65,'现金流水'!$A$5:$A$104,"&lt;="&amp;B65,'现金流水'!$B$5:$B$104,"收入",'现金流水'!$J$5:$J$104,"已到账"))</x:f>
      </x:c>
      <x:c r="H65" s="234" t="str">
        <x:f>IF(A65="","",SUMIFS('现金流水'!$H$5:$H$104,'现金流水'!$A$5:$A$104,"&gt;="&amp;A65,'现金流水'!$A$5:$A$104,"&lt;="&amp;B65,'现金流水'!$B$5:$B$104,"直接成本",'现金流水'!$J$5:$J$104,"已支付")+SUMIFS('现金流水'!$H$5:$H$104,'现金流水'!$A$5:$A$104,"&gt;="&amp;A65,'现金流水'!$A$5:$A$104,"&lt;="&amp;B65,'现金流水'!$B$5:$B$104,"固定成本",'现金流水'!$J$5:$J$104,"已支付")+SUMIFS('现金流水'!$H$5:$H$104,'现金流水'!$A$5:$A$104,"&gt;="&amp;A65,'现金流水'!$A$5:$A$104,"&lt;="&amp;B65,'现金流水'!$B$5:$B$104,"退款",'现金流水'!$J$5:$J$104,"已支付"))</x:f>
      </x:c>
      <x:c r="I65" s="234" t="str">
        <x:f>IF(A65="","",G65-H65)</x:f>
      </x:c>
      <x:c r="J65" s="234" t="str">
        <x:f>IF(A65="","",'说明与目标'!$B$14+SUM($I$18:I65))</x:f>
      </x:c>
      <x:c r="K65" s="234" t="str">
        <x:f>IF(A65="","",ROUND('说明与目标'!$B$8*MIN(1,MAX(0,(B65-'说明与目标'!$B$13)/('说明与目标'!$B$7-'说明与目标'!$B$13))),0))</x:f>
      </x:c>
      <x:c r="L65" s="234" t="str">
        <x:f>IF(A65="","",ROUND(J65-K65,0))</x:f>
      </x:c>
      <x:c r="M65" s="174"/>
      <x:c r="N65" s="174"/>
      <x:c r="O65" s="174"/>
      <x:c r="P65" s="174"/>
    </x:row>
    <x:row r="66">
      <x:c r="A66" s="200" t="str">
        <x:f>IF(A65="","",IF(A65+7&lt;='说明与目标'!$B$7,A65+7,""))</x:f>
      </x:c>
      <x:c r="B66" s="200" t="str">
        <x:f>IF(A66="","",MIN(A66+6,'说明与目标'!$B$7))</x:f>
      </x:c>
      <x:c r="C66" s="243" t="str">
        <x:f>IF(A66="","",COUNTIFS('线索'!$B$5:$B$54,"&gt;="&amp;A66,'线索'!$B$5:$B$54,"&lt;="&amp;B66))</x:f>
      </x:c>
      <x:c r="D66" s="243" t="str">
        <x:f>IF(A66="","",COUNTIFS('线索'!$B$5:$B$54,"&gt;="&amp;A66,'线索'!$B$5:$B$54,"&lt;="&amp;B66,'线索'!$L$5:$L$54,"&lt;&gt;新线索",'线索'!$L$5:$L$54,"&lt;&gt;未成交",'线索'!$L$5:$L$54,"&lt;&gt;暂停",'线索'!$L$5:$L$54,"&lt;&gt;"))</x:f>
      </x:c>
      <x:c r="E66" s="243" t="str">
        <x:f>IF(A66="","",COUNTIFS('报价'!$C$5:$C$54,"&gt;="&amp;A66,'报价'!$C$5:$C$54,"&lt;="&amp;B66))</x:f>
      </x:c>
      <x:c r="F66" s="243" t="str">
        <x:f>IF(A66="","",COUNTIFS('报价'!$Q$5:$Q$54,"&gt;="&amp;A66,'报价'!$Q$5:$Q$54,"&lt;="&amp;B66))</x:f>
      </x:c>
      <x:c r="G66" s="234" t="str">
        <x:f>IF(A66="","",SUMIFS('现金流水'!$H$5:$H$104,'现金流水'!$A$5:$A$104,"&gt;="&amp;A66,'现金流水'!$A$5:$A$104,"&lt;="&amp;B66,'现金流水'!$B$5:$B$104,"收入",'现金流水'!$J$5:$J$104,"已到账"))</x:f>
      </x:c>
      <x:c r="H66" s="234" t="str">
        <x:f>IF(A66="","",SUMIFS('现金流水'!$H$5:$H$104,'现金流水'!$A$5:$A$104,"&gt;="&amp;A66,'现金流水'!$A$5:$A$104,"&lt;="&amp;B66,'现金流水'!$B$5:$B$104,"直接成本",'现金流水'!$J$5:$J$104,"已支付")+SUMIFS('现金流水'!$H$5:$H$104,'现金流水'!$A$5:$A$104,"&gt;="&amp;A66,'现金流水'!$A$5:$A$104,"&lt;="&amp;B66,'现金流水'!$B$5:$B$104,"固定成本",'现金流水'!$J$5:$J$104,"已支付")+SUMIFS('现金流水'!$H$5:$H$104,'现金流水'!$A$5:$A$104,"&gt;="&amp;A66,'现金流水'!$A$5:$A$104,"&lt;="&amp;B66,'现金流水'!$B$5:$B$104,"退款",'现金流水'!$J$5:$J$104,"已支付"))</x:f>
      </x:c>
      <x:c r="I66" s="234" t="str">
        <x:f>IF(A66="","",G66-H66)</x:f>
      </x:c>
      <x:c r="J66" s="234" t="str">
        <x:f>IF(A66="","",'说明与目标'!$B$14+SUM($I$18:I66))</x:f>
      </x:c>
      <x:c r="K66" s="234" t="str">
        <x:f>IF(A66="","",ROUND('说明与目标'!$B$8*MIN(1,MAX(0,(B66-'说明与目标'!$B$13)/('说明与目标'!$B$7-'说明与目标'!$B$13))),0))</x:f>
      </x:c>
      <x:c r="L66" s="234" t="str">
        <x:f>IF(A66="","",ROUND(J66-K66,0))</x:f>
      </x:c>
      <x:c r="M66" s="174"/>
      <x:c r="N66" s="174"/>
      <x:c r="O66" s="174"/>
      <x:c r="P66" s="174"/>
    </x:row>
    <x:row r="67">
      <x:c r="A67" s="200" t="str">
        <x:f>IF(A66="","",IF(A66+7&lt;='说明与目标'!$B$7,A66+7,""))</x:f>
      </x:c>
      <x:c r="B67" s="200" t="str">
        <x:f>IF(A67="","",MIN(A67+6,'说明与目标'!$B$7))</x:f>
      </x:c>
      <x:c r="C67" s="243" t="str">
        <x:f>IF(A67="","",COUNTIFS('线索'!$B$5:$B$54,"&gt;="&amp;A67,'线索'!$B$5:$B$54,"&lt;="&amp;B67))</x:f>
      </x:c>
      <x:c r="D67" s="243" t="str">
        <x:f>IF(A67="","",COUNTIFS('线索'!$B$5:$B$54,"&gt;="&amp;A67,'线索'!$B$5:$B$54,"&lt;="&amp;B67,'线索'!$L$5:$L$54,"&lt;&gt;新线索",'线索'!$L$5:$L$54,"&lt;&gt;未成交",'线索'!$L$5:$L$54,"&lt;&gt;暂停",'线索'!$L$5:$L$54,"&lt;&gt;"))</x:f>
      </x:c>
      <x:c r="E67" s="243" t="str">
        <x:f>IF(A67="","",COUNTIFS('报价'!$C$5:$C$54,"&gt;="&amp;A67,'报价'!$C$5:$C$54,"&lt;="&amp;B67))</x:f>
      </x:c>
      <x:c r="F67" s="243" t="str">
        <x:f>IF(A67="","",COUNTIFS('报价'!$Q$5:$Q$54,"&gt;="&amp;A67,'报价'!$Q$5:$Q$54,"&lt;="&amp;B67))</x:f>
      </x:c>
      <x:c r="G67" s="234" t="str">
        <x:f>IF(A67="","",SUMIFS('现金流水'!$H$5:$H$104,'现金流水'!$A$5:$A$104,"&gt;="&amp;A67,'现金流水'!$A$5:$A$104,"&lt;="&amp;B67,'现金流水'!$B$5:$B$104,"收入",'现金流水'!$J$5:$J$104,"已到账"))</x:f>
      </x:c>
      <x:c r="H67" s="234" t="str">
        <x:f>IF(A67="","",SUMIFS('现金流水'!$H$5:$H$104,'现金流水'!$A$5:$A$104,"&gt;="&amp;A67,'现金流水'!$A$5:$A$104,"&lt;="&amp;B67,'现金流水'!$B$5:$B$104,"直接成本",'现金流水'!$J$5:$J$104,"已支付")+SUMIFS('现金流水'!$H$5:$H$104,'现金流水'!$A$5:$A$104,"&gt;="&amp;A67,'现金流水'!$A$5:$A$104,"&lt;="&amp;B67,'现金流水'!$B$5:$B$104,"固定成本",'现金流水'!$J$5:$J$104,"已支付")+SUMIFS('现金流水'!$H$5:$H$104,'现金流水'!$A$5:$A$104,"&gt;="&amp;A67,'现金流水'!$A$5:$A$104,"&lt;="&amp;B67,'现金流水'!$B$5:$B$104,"退款",'现金流水'!$J$5:$J$104,"已支付"))</x:f>
      </x:c>
      <x:c r="I67" s="234" t="str">
        <x:f>IF(A67="","",G67-H67)</x:f>
      </x:c>
      <x:c r="J67" s="234" t="str">
        <x:f>IF(A67="","",'说明与目标'!$B$14+SUM($I$18:I67))</x:f>
      </x:c>
      <x:c r="K67" s="234" t="str">
        <x:f>IF(A67="","",ROUND('说明与目标'!$B$8*MIN(1,MAX(0,(B67-'说明与目标'!$B$13)/('说明与目标'!$B$7-'说明与目标'!$B$13))),0))</x:f>
      </x:c>
      <x:c r="L67" s="234" t="str">
        <x:f>IF(A67="","",ROUND(J67-K67,0))</x:f>
      </x:c>
      <x:c r="M67" s="174"/>
      <x:c r="N67" s="174"/>
      <x:c r="O67" s="174"/>
      <x:c r="P67" s="174"/>
    </x:row>
    <x:row r="68">
      <x:c r="A68" s="200" t="str">
        <x:f>IF(A67="","",IF(A67+7&lt;='说明与目标'!$B$7,A67+7,""))</x:f>
      </x:c>
      <x:c r="B68" s="200" t="str">
        <x:f>IF(A68="","",MIN(A68+6,'说明与目标'!$B$7))</x:f>
      </x:c>
      <x:c r="C68" s="243" t="str">
        <x:f>IF(A68="","",COUNTIFS('线索'!$B$5:$B$54,"&gt;="&amp;A68,'线索'!$B$5:$B$54,"&lt;="&amp;B68))</x:f>
      </x:c>
      <x:c r="D68" s="243" t="str">
        <x:f>IF(A68="","",COUNTIFS('线索'!$B$5:$B$54,"&gt;="&amp;A68,'线索'!$B$5:$B$54,"&lt;="&amp;B68,'线索'!$L$5:$L$54,"&lt;&gt;新线索",'线索'!$L$5:$L$54,"&lt;&gt;未成交",'线索'!$L$5:$L$54,"&lt;&gt;暂停",'线索'!$L$5:$L$54,"&lt;&gt;"))</x:f>
      </x:c>
      <x:c r="E68" s="243" t="str">
        <x:f>IF(A68="","",COUNTIFS('报价'!$C$5:$C$54,"&gt;="&amp;A68,'报价'!$C$5:$C$54,"&lt;="&amp;B68))</x:f>
      </x:c>
      <x:c r="F68" s="243" t="str">
        <x:f>IF(A68="","",COUNTIFS('报价'!$Q$5:$Q$54,"&gt;="&amp;A68,'报价'!$Q$5:$Q$54,"&lt;="&amp;B68))</x:f>
      </x:c>
      <x:c r="G68" s="234" t="str">
        <x:f>IF(A68="","",SUMIFS('现金流水'!$H$5:$H$104,'现金流水'!$A$5:$A$104,"&gt;="&amp;A68,'现金流水'!$A$5:$A$104,"&lt;="&amp;B68,'现金流水'!$B$5:$B$104,"收入",'现金流水'!$J$5:$J$104,"已到账"))</x:f>
      </x:c>
      <x:c r="H68" s="234" t="str">
        <x:f>IF(A68="","",SUMIFS('现金流水'!$H$5:$H$104,'现金流水'!$A$5:$A$104,"&gt;="&amp;A68,'现金流水'!$A$5:$A$104,"&lt;="&amp;B68,'现金流水'!$B$5:$B$104,"直接成本",'现金流水'!$J$5:$J$104,"已支付")+SUMIFS('现金流水'!$H$5:$H$104,'现金流水'!$A$5:$A$104,"&gt;="&amp;A68,'现金流水'!$A$5:$A$104,"&lt;="&amp;B68,'现金流水'!$B$5:$B$104,"固定成本",'现金流水'!$J$5:$J$104,"已支付")+SUMIFS('现金流水'!$H$5:$H$104,'现金流水'!$A$5:$A$104,"&gt;="&amp;A68,'现金流水'!$A$5:$A$104,"&lt;="&amp;B68,'现金流水'!$B$5:$B$104,"退款",'现金流水'!$J$5:$J$104,"已支付"))</x:f>
      </x:c>
      <x:c r="I68" s="234" t="str">
        <x:f>IF(A68="","",G68-H68)</x:f>
      </x:c>
      <x:c r="J68" s="234" t="str">
        <x:f>IF(A68="","",'说明与目标'!$B$14+SUM($I$18:I68))</x:f>
      </x:c>
      <x:c r="K68" s="234" t="str">
        <x:f>IF(A68="","",ROUND('说明与目标'!$B$8*MIN(1,MAX(0,(B68-'说明与目标'!$B$13)/('说明与目标'!$B$7-'说明与目标'!$B$13))),0))</x:f>
      </x:c>
      <x:c r="L68" s="234" t="str">
        <x:f>IF(A68="","",ROUND(J68-K68,0))</x:f>
      </x:c>
      <x:c r="M68" s="174"/>
      <x:c r="N68" s="174"/>
      <x:c r="O68" s="174"/>
      <x:c r="P68" s="174"/>
    </x:row>
    <x:row r="69">
      <x:c r="A69" s="200" t="str">
        <x:f>IF(A68="","",IF(A68+7&lt;='说明与目标'!$B$7,A68+7,""))</x:f>
      </x:c>
      <x:c r="B69" s="200" t="str">
        <x:f>IF(A69="","",MIN(A69+6,'说明与目标'!$B$7))</x:f>
      </x:c>
      <x:c r="C69" s="243" t="str">
        <x:f>IF(A69="","",COUNTIFS('线索'!$B$5:$B$54,"&gt;="&amp;A69,'线索'!$B$5:$B$54,"&lt;="&amp;B69))</x:f>
      </x:c>
      <x:c r="D69" s="243" t="str">
        <x:f>IF(A69="","",COUNTIFS('线索'!$B$5:$B$54,"&gt;="&amp;A69,'线索'!$B$5:$B$54,"&lt;="&amp;B69,'线索'!$L$5:$L$54,"&lt;&gt;新线索",'线索'!$L$5:$L$54,"&lt;&gt;未成交",'线索'!$L$5:$L$54,"&lt;&gt;暂停",'线索'!$L$5:$L$54,"&lt;&gt;"))</x:f>
      </x:c>
      <x:c r="E69" s="243" t="str">
        <x:f>IF(A69="","",COUNTIFS('报价'!$C$5:$C$54,"&gt;="&amp;A69,'报价'!$C$5:$C$54,"&lt;="&amp;B69))</x:f>
      </x:c>
      <x:c r="F69" s="243" t="str">
        <x:f>IF(A69="","",COUNTIFS('报价'!$Q$5:$Q$54,"&gt;="&amp;A69,'报价'!$Q$5:$Q$54,"&lt;="&amp;B69))</x:f>
      </x:c>
      <x:c r="G69" s="234" t="str">
        <x:f>IF(A69="","",SUMIFS('现金流水'!$H$5:$H$104,'现金流水'!$A$5:$A$104,"&gt;="&amp;A69,'现金流水'!$A$5:$A$104,"&lt;="&amp;B69,'现金流水'!$B$5:$B$104,"收入",'现金流水'!$J$5:$J$104,"已到账"))</x:f>
      </x:c>
      <x:c r="H69" s="234" t="str">
        <x:f>IF(A69="","",SUMIFS('现金流水'!$H$5:$H$104,'现金流水'!$A$5:$A$104,"&gt;="&amp;A69,'现金流水'!$A$5:$A$104,"&lt;="&amp;B69,'现金流水'!$B$5:$B$104,"直接成本",'现金流水'!$J$5:$J$104,"已支付")+SUMIFS('现金流水'!$H$5:$H$104,'现金流水'!$A$5:$A$104,"&gt;="&amp;A69,'现金流水'!$A$5:$A$104,"&lt;="&amp;B69,'现金流水'!$B$5:$B$104,"固定成本",'现金流水'!$J$5:$J$104,"已支付")+SUMIFS('现金流水'!$H$5:$H$104,'现金流水'!$A$5:$A$104,"&gt;="&amp;A69,'现金流水'!$A$5:$A$104,"&lt;="&amp;B69,'现金流水'!$B$5:$B$104,"退款",'现金流水'!$J$5:$J$104,"已支付"))</x:f>
      </x:c>
      <x:c r="I69" s="234" t="str">
        <x:f>IF(A69="","",G69-H69)</x:f>
      </x:c>
      <x:c r="J69" s="234" t="str">
        <x:f>IF(A69="","",'说明与目标'!$B$14+SUM($I$18:I69))</x:f>
      </x:c>
      <x:c r="K69" s="234" t="str">
        <x:f>IF(A69="","",ROUND('说明与目标'!$B$8*MIN(1,MAX(0,(B69-'说明与目标'!$B$13)/('说明与目标'!$B$7-'说明与目标'!$B$13))),0))</x:f>
      </x:c>
      <x:c r="L69" s="234" t="str">
        <x:f>IF(A69="","",ROUND(J69-K69,0))</x:f>
      </x:c>
      <x:c r="M69" s="174"/>
      <x:c r="N69" s="174"/>
      <x:c r="O69" s="174"/>
      <x:c r="P69" s="174"/>
    </x:row>
    <x:row r="70">
      <x:c r="A70" s="200" t="str">
        <x:f>IF(A69="","",IF(A69+7&lt;='说明与目标'!$B$7,A69+7,""))</x:f>
      </x:c>
      <x:c r="B70" s="200" t="str">
        <x:f>IF(A70="","",MIN(A70+6,'说明与目标'!$B$7))</x:f>
      </x:c>
      <x:c r="C70" s="243" t="str">
        <x:f>IF(A70="","",COUNTIFS('线索'!$B$5:$B$54,"&gt;="&amp;A70,'线索'!$B$5:$B$54,"&lt;="&amp;B70))</x:f>
      </x:c>
      <x:c r="D70" s="243" t="str">
        <x:f>IF(A70="","",COUNTIFS('线索'!$B$5:$B$54,"&gt;="&amp;A70,'线索'!$B$5:$B$54,"&lt;="&amp;B70,'线索'!$L$5:$L$54,"&lt;&gt;新线索",'线索'!$L$5:$L$54,"&lt;&gt;未成交",'线索'!$L$5:$L$54,"&lt;&gt;暂停",'线索'!$L$5:$L$54,"&lt;&gt;"))</x:f>
      </x:c>
      <x:c r="E70" s="243" t="str">
        <x:f>IF(A70="","",COUNTIFS('报价'!$C$5:$C$54,"&gt;="&amp;A70,'报价'!$C$5:$C$54,"&lt;="&amp;B70))</x:f>
      </x:c>
      <x:c r="F70" s="243" t="str">
        <x:f>IF(A70="","",COUNTIFS('报价'!$Q$5:$Q$54,"&gt;="&amp;A70,'报价'!$Q$5:$Q$54,"&lt;="&amp;B70))</x:f>
      </x:c>
      <x:c r="G70" s="234" t="str">
        <x:f>IF(A70="","",SUMIFS('现金流水'!$H$5:$H$104,'现金流水'!$A$5:$A$104,"&gt;="&amp;A70,'现金流水'!$A$5:$A$104,"&lt;="&amp;B70,'现金流水'!$B$5:$B$104,"收入",'现金流水'!$J$5:$J$104,"已到账"))</x:f>
      </x:c>
      <x:c r="H70" s="234" t="str">
        <x:f>IF(A70="","",SUMIFS('现金流水'!$H$5:$H$104,'现金流水'!$A$5:$A$104,"&gt;="&amp;A70,'现金流水'!$A$5:$A$104,"&lt;="&amp;B70,'现金流水'!$B$5:$B$104,"直接成本",'现金流水'!$J$5:$J$104,"已支付")+SUMIFS('现金流水'!$H$5:$H$104,'现金流水'!$A$5:$A$104,"&gt;="&amp;A70,'现金流水'!$A$5:$A$104,"&lt;="&amp;B70,'现金流水'!$B$5:$B$104,"固定成本",'现金流水'!$J$5:$J$104,"已支付")+SUMIFS('现金流水'!$H$5:$H$104,'现金流水'!$A$5:$A$104,"&gt;="&amp;A70,'现金流水'!$A$5:$A$104,"&lt;="&amp;B70,'现金流水'!$B$5:$B$104,"退款",'现金流水'!$J$5:$J$104,"已支付"))</x:f>
      </x:c>
      <x:c r="I70" s="234" t="str">
        <x:f>IF(A70="","",G70-H70)</x:f>
      </x:c>
      <x:c r="J70" s="234" t="str">
        <x:f>IF(A70="","",'说明与目标'!$B$14+SUM($I$18:I70))</x:f>
      </x:c>
      <x:c r="K70" s="234" t="str">
        <x:f>IF(A70="","",ROUND('说明与目标'!$B$8*MIN(1,MAX(0,(B70-'说明与目标'!$B$13)/('说明与目标'!$B$7-'说明与目标'!$B$13))),0))</x:f>
      </x:c>
      <x:c r="L70" s="234" t="str">
        <x:f>IF(A70="","",ROUND(J70-K70,0))</x:f>
      </x:c>
      <x:c r="M70" s="174"/>
      <x:c r="N70" s="174"/>
      <x:c r="O70" s="174"/>
      <x:c r="P70" s="174"/>
    </x:row>
  </x:sheetData>
  <x:mergeCells>
    <x:mergeCell ref="A1:M1"/>
    <x:mergeCell ref="A2:M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</x:mergeCells>
  <x:conditionalFormatting sqref="L18:L70">
    <x:cfRule type="cellIs" dxfId="1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6d9897bb5a6547ff"/>
  <x:tableParts count="1">
    <x:tablePart xmlns:r="http://schemas.openxmlformats.org/officeDocument/2006/relationships" r:id="Rdfedeafbf88a4d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42" hidden="0" customWidth="1"/>
  </x:cols>
  <x:sheetData>
    <x:row r="1" ht="34" customHeight="1">
      <x:c r="A1" s="4" t="str">
        <x:v>Checks｜模型状态与修复位置</x:v>
      </x:c>
      <x:c r="B1" s="4" t="str">
        <x:v>Checks｜模型状态与修复位置</x:v>
      </x:c>
      <x:c r="C1" s="4" t="str">
        <x:v>Checks｜模型状态与修复位置</x:v>
      </x:c>
      <x:c r="D1" s="4" t="str">
        <x:v>Checks｜模型状态与修复位置</x:v>
      </x:c>
      <x:c r="E1" s="4" t="str">
        <x:v>Checks｜模型状态与修复位置</x:v>
      </x:c>
      <x:c r="F1" s="4" t="str">
        <x:v>Checks｜模型状态与修复位置</x:v>
      </x:c>
      <x:c r="G1" s="4" t="str">
        <x:v>Checks｜模型状态与修复位置</x:v>
      </x:c>
    </x:row>
    <x:row r="2">
      <x:c r="A2" s="244" t="str">
        <x:v>MODEL STATUS</x:v>
      </x:c>
      <x:c r="B2" s="244" t="str">
        <x:f>IF(COUNTIF(F5:F27,"FAIL")=0,"PASS","FAIL")</x:f>
        <x:v>FAIL</x:v>
      </x:c>
      <x:c r="C2" s="174"/>
      <x:c r="D2" s="174"/>
      <x:c r="E2" s="174"/>
      <x:c r="F2" s="174"/>
      <x:c r="G2" s="174"/>
    </x:row>
    <x:row r="3">
      <x:c r="A3" s="174"/>
      <x:c r="B3" s="174"/>
      <x:c r="C3" s="174"/>
      <x:c r="D3" s="174"/>
      <x:c r="E3" s="174"/>
      <x:c r="F3" s="174"/>
      <x:c r="G3" s="174"/>
    </x:row>
    <x:row r="4" ht="30" customHeight="1">
      <x:c r="A4" s="77" t="str">
        <x:v>检查项</x:v>
      </x:c>
      <x:c r="B4" s="78" t="str">
        <x:v>实际</x:v>
      </x:c>
      <x:c r="C4" s="78" t="str">
        <x:v>期望</x:v>
      </x:c>
      <x:c r="D4" s="78" t="str">
        <x:v>差额/计数</x:v>
      </x:c>
      <x:c r="E4" s="78" t="str">
        <x:v>容差</x:v>
      </x:c>
      <x:c r="F4" s="78" t="str">
        <x:v>状态</x:v>
      </x:c>
      <x:c r="G4" s="79" t="str">
        <x:v>修复位置/说明</x:v>
      </x:c>
    </x:row>
    <x:row r="5">
      <x:c r="A5" s="174" t="str">
        <x:v>目标金额为正</x:v>
      </x:c>
      <x:c r="B5" s="245" t="n">
        <x:f>'说明与目标'!$B$8</x:f>
        <x:v>100000</x:v>
      </x:c>
      <x:c r="C5" s="245" t="str">
        <x:v>&gt;0</x:v>
      </x:c>
      <x:c r="D5" s="245" t="n">
        <x:f>B5</x:f>
        <x:v>100000</x:v>
      </x:c>
      <x:c r="E5" s="245" t="n">
        <x:v>0</x:v>
      </x:c>
      <x:c r="F5" s="174" t="str">
        <x:f>IF(B5&gt;0,"OK","FAIL")</x:f>
        <x:v>OK</x:v>
      </x:c>
      <x:c r="G5" s="201" t="str">
        <x:v>说明与目标!B8</x:v>
      </x:c>
    </x:row>
    <x:row r="6">
      <x:c r="A6" s="174" t="str">
        <x:v>截止日晚于起始日</x:v>
      </x:c>
      <x:c r="B6" s="245" t="n">
        <x:f>'说明与目标'!$B$7-'说明与目标'!$B$13</x:f>
        <x:v>131</x:v>
      </x:c>
      <x:c r="C6" s="245" t="str">
        <x:v>&gt;=0天</x:v>
      </x:c>
      <x:c r="D6" s="245" t="n">
        <x:f>B6</x:f>
        <x:v>131</x:v>
      </x:c>
      <x:c r="E6" s="245" t="n">
        <x:v>0</x:v>
      </x:c>
      <x:c r="F6" s="174" t="str">
        <x:f>IF(B6&gt;=0,"OK","FAIL")</x:f>
        <x:v>OK</x:v>
      </x:c>
      <x:c r="G6" s="201" t="str">
        <x:v>说明与目标!B7 / B13</x:v>
      </x:c>
    </x:row>
    <x:row r="7">
      <x:c r="A7" s="174" t="str">
        <x:v>JPY规划汇率为正</x:v>
      </x:c>
      <x:c r="B7" s="245" t="n">
        <x:f>'说明与目标'!$B$10</x:f>
        <x:v>0.05</x:v>
      </x:c>
      <x:c r="C7" s="245" t="str">
        <x:v>&gt;0</x:v>
      </x:c>
      <x:c r="D7" s="245" t="n">
        <x:f>B7</x:f>
        <x:v>0.05</x:v>
      </x:c>
      <x:c r="E7" s="245" t="n">
        <x:v>0</x:v>
      </x:c>
      <x:c r="F7" s="174" t="str">
        <x:f>IF(B7&gt;0,"OK","FAIL")</x:f>
        <x:v>OK</x:v>
      </x:c>
      <x:c r="G7" s="201" t="str">
        <x:v>说明与目标!B10</x:v>
      </x:c>
    </x:row>
    <x:row r="8">
      <x:c r="A8" s="174" t="str">
        <x:v>周度现金收入与总表一致</x:v>
      </x:c>
      <x:c r="B8" s="245" t="n">
        <x:f>SUM('周度看板'!$G$18:$G$70)</x:f>
        <x:v>0</x:v>
      </x:c>
      <x:c r="C8" s="245" t="n">
        <x:f>'说明与目标'!$F$5</x:f>
        <x:v>0</x:v>
      </x:c>
      <x:c r="D8" s="245" t="n">
        <x:f>B8-C8</x:f>
        <x:v>0</x:v>
      </x:c>
      <x:c r="E8" s="245" t="n">
        <x:v>0.01</x:v>
      </x:c>
      <x:c r="F8" s="174" t="str">
        <x:f>IF(ABS(D8)&lt;=E8,"OK","FAIL")</x:f>
        <x:v>OK</x:v>
      </x:c>
      <x:c r="G8" s="201" t="str">
        <x:v>周度看板G列 / 说明与目标F5</x:v>
      </x:c>
    </x:row>
    <x:row r="9">
      <x:c r="A9" s="174" t="str">
        <x:v>周度现金成本与总表一致</x:v>
      </x:c>
      <x:c r="B9" s="245" t="n">
        <x:f>SUM('周度看板'!$H$18:$H$70)</x:f>
        <x:v>0</x:v>
      </x:c>
      <x:c r="C9" s="245" t="n">
        <x:f>'说明与目标'!$F$6</x:f>
        <x:v>0</x:v>
      </x:c>
      <x:c r="D9" s="245" t="n">
        <x:f>B9-C9</x:f>
        <x:v>0</x:v>
      </x:c>
      <x:c r="E9" s="245" t="n">
        <x:v>0.01</x:v>
      </x:c>
      <x:c r="F9" s="174" t="str">
        <x:f>IF(ABS(D9)&lt;=E9,"OK","FAIL")</x:f>
        <x:v>OK</x:v>
      </x:c>
      <x:c r="G9" s="201" t="str">
        <x:v>周度看板H列 / 说明与目标F6</x:v>
      </x:c>
    </x:row>
    <x:row r="10">
      <x:c r="A10" s="174" t="str">
        <x:v>项目工时无负数</x:v>
      </x:c>
      <x:c r="B10" s="245" t="n">
        <x:f>COUNTIF('项目与利润'!$K$5:$K$54,"&lt;0")</x:f>
        <x:v>0</x:v>
      </x:c>
      <x:c r="C10" s="245" t="n">
        <x:v>0</x:v>
      </x:c>
      <x:c r="D10" s="245" t="n">
        <x:f>B10-C10</x:f>
        <x:v>0</x:v>
      </x:c>
      <x:c r="E10" s="245" t="n">
        <x:v>0</x:v>
      </x:c>
      <x:c r="F10" s="174" t="str">
        <x:f>IF(D10=0,"OK","FAIL")</x:f>
        <x:v>OK</x:v>
      </x:c>
      <x:c r="G10" s="201" t="str">
        <x:v>项目与利润K列</x:v>
      </x:c>
    </x:row>
    <x:row r="11">
      <x:c r="A11" s="174" t="str">
        <x:v>非CNY现金记录无缺失汇率</x:v>
      </x:c>
      <x:c r="B11" s="245" t="n">
        <x:f>COUNTIFS('现金流水'!$A$5:$A$104,"&lt;&gt;",'现金流水'!$E$5:$E$104,"&lt;&gt;CNY",'现金流水'!$G$5:$G$104,"")</x:f>
        <x:v>0</x:v>
      </x:c>
      <x:c r="C11" s="245" t="n">
        <x:v>0</x:v>
      </x:c>
      <x:c r="D11" s="245" t="n">
        <x:f>B11-C11</x:f>
        <x:v>0</x:v>
      </x:c>
      <x:c r="E11" s="245" t="n">
        <x:v>0</x:v>
      </x:c>
      <x:c r="F11" s="174" t="str">
        <x:f>IF(D11=0,"OK","FAIL")</x:f>
        <x:v>OK</x:v>
      </x:c>
      <x:c r="G11" s="201" t="str">
        <x:v>现金流水E/G列</x:v>
      </x:c>
    </x:row>
    <x:row r="12">
      <x:c r="A12" s="174" t="str">
        <x:v>项目应收款无负数</x:v>
      </x:c>
      <x:c r="B12" s="245" t="n">
        <x:f>COUNTIF('项目与利润'!$Q$5:$Q$54,"&lt;0")</x:f>
        <x:v>0</x:v>
      </x:c>
      <x:c r="C12" s="245" t="n">
        <x:v>0</x:v>
      </x:c>
      <x:c r="D12" s="245" t="n">
        <x:f>B12-C12</x:f>
        <x:v>0</x:v>
      </x:c>
      <x:c r="E12" s="245" t="n">
        <x:v>0</x:v>
      </x:c>
      <x:c r="F12" s="174" t="str">
        <x:f>IF(D12=0,"OK","FAIL")</x:f>
        <x:v>OK</x:v>
      </x:c>
      <x:c r="G12" s="201" t="str">
        <x:v>项目与利润Q列</x:v>
      </x:c>
    </x:row>
    <x:row r="13">
      <x:c r="A13" s="174" t="str">
        <x:v>创始人小时成本已填写</x:v>
      </x:c>
      <x:c r="B13" s="245" t="n">
        <x:f>'说明与目标'!$B$16</x:f>
        <x:v>0</x:v>
      </x:c>
      <x:c r="C13" s="245" t="str">
        <x:v>&gt;0</x:v>
      </x:c>
      <x:c r="D13" s="245" t="n">
        <x:f>B13</x:f>
        <x:v>0</x:v>
      </x:c>
      <x:c r="E13" s="245" t="n">
        <x:v>0</x:v>
      </x:c>
      <x:c r="F13" s="174" t="str">
        <x:f>IF(B13&gt;0,"OK","FAIL")</x:f>
        <x:v>FAIL</x:v>
      </x:c>
      <x:c r="G13" s="201" t="str">
        <x:v>说明与目标!B16</x:v>
      </x:c>
    </x:row>
    <x:row r="14">
      <x:c r="A14" s="347" t="str">
        <x:v>每周可投入工时已填写</x:v>
      </x:c>
      <x:c r="B14" s="348" t="n">
        <x:f>'说明与目标'!$B$15</x:f>
        <x:v>0</x:v>
      </x:c>
      <x:c r="C14" s="348" t="str">
        <x:v>&gt;0</x:v>
      </x:c>
      <x:c r="D14" s="348" t="n">
        <x:f>B14</x:f>
        <x:v>0</x:v>
      </x:c>
      <x:c r="E14" s="348" t="n">
        <x:v>0</x:v>
      </x:c>
      <x:c r="F14" s="348" t="str">
        <x:f>IF(B14&gt;0,"OK","FAIL")</x:f>
        <x:v>FAIL</x:v>
      </x:c>
      <x:c r="G14" s="349" t="str">
        <x:v>说明与目标!B15</x:v>
      </x:c>
    </x:row>
    <x:row r="15">
      <x:c r="A15" s="350" t="str">
        <x:v>可用于交付比例已填写</x:v>
      </x:c>
      <x:c r="B15" s="351" t="n">
        <x:f>'说明与目标'!$B$17</x:f>
        <x:v>0</x:v>
      </x:c>
      <x:c r="C15" s="351" t="str">
        <x:v>&gt;0且&lt;=100%</x:v>
      </x:c>
      <x:c r="D15" s="351" t="n">
        <x:f>B15</x:f>
        <x:v>0</x:v>
      </x:c>
      <x:c r="E15" s="351" t="n">
        <x:v>0</x:v>
      </x:c>
      <x:c r="F15" s="351" t="str">
        <x:f>IF(AND(B15&gt;0,B15&lt;=1),"OK","FAIL")</x:f>
        <x:v>FAIL</x:v>
      </x:c>
      <x:c r="G15" s="352" t="str">
        <x:v>说明与目标!B17</x:v>
      </x:c>
    </x:row>
    <x:row r="16">
      <x:c r="A16" s="353" t="str">
        <x:v>O-01/O-02保持暂停</x:v>
      </x:c>
      <x:c r="B16" s="354" t="n">
        <x:f>COUNTIF('服务测试'!$D$5:$D$8,"&lt;&gt;暂停")</x:f>
        <x:v>0</x:v>
      </x:c>
      <x:c r="C16" s="354" t="str">
        <x:v>0个非暂停</x:v>
      </x:c>
      <x:c r="D16" s="354" t="n">
        <x:f>B16</x:f>
        <x:v>0</x:v>
      </x:c>
      <x:c r="E16" s="354" t="n">
        <x:v>0</x:v>
      </x:c>
      <x:c r="F16" s="354" t="str">
        <x:f>IF(B16=0,"OK","FAIL")</x:f>
        <x:v>OK</x:v>
      </x:c>
      <x:c r="G16" s="355" t="str">
        <x:v>服务测试!D5:D8</x:v>
      </x:c>
    </x:row>
    <x:row r="17">
      <x:c r="A17" s="350" t="str">
        <x:v>税费目标口径已确认</x:v>
      </x:c>
      <x:c r="B17" s="351" t="str">
        <x:f>'说明与目标'!$B$12</x:f>
        <x:v>待确认</x:v>
      </x:c>
      <x:c r="C17" s="351" t="str">
        <x:v>不是待确认</x:v>
      </x:c>
      <x:c r="D17" s="351" t="n">
        <x:f>IF(B17="待确认",1,0)</x:f>
        <x:v>1</x:v>
      </x:c>
      <x:c r="E17" s="351" t="n">
        <x:v>0</x:v>
      </x:c>
      <x:c r="F17" s="351" t="str">
        <x:f>IF(OR(B17="是",B17="否"),"OK","FAIL")</x:f>
        <x:v>FAIL</x:v>
      </x:c>
      <x:c r="G17" s="352" t="str">
        <x:v>说明与目标!B12</x:v>
      </x:c>
    </x:row>
    <x:row r="18">
      <x:c r="A18" s="356" t="str">
        <x:v>创始人工时目标口径已确认</x:v>
      </x:c>
      <x:c r="B18" s="357" t="str">
        <x:f>'说明与目标'!$B$11</x:f>
        <x:v>待确认</x:v>
      </x:c>
      <x:c r="C18" s="357" t="str">
        <x:v>不是待确认</x:v>
      </x:c>
      <x:c r="D18" s="357" t="n">
        <x:f>IF(B18="待确认",1,0)</x:f>
        <x:v>1</x:v>
      </x:c>
      <x:c r="E18" s="357" t="n">
        <x:v>0</x:v>
      </x:c>
      <x:c r="F18" s="357" t="str">
        <x:f>IF(OR(B18="是",B18="否"),"OK","FAIL")</x:f>
        <x:v>FAIL</x:v>
      </x:c>
      <x:c r="G18" s="358" t="str">
        <x:v>说明与目标!B11</x:v>
      </x:c>
    </x:row>
    <x:row r="19">
      <x:c r="A19" s="500" t="str">
        <x:v>已验证服务同时有硬门批准和证据</x:v>
      </x:c>
      <x:c r="B19" s="501" t="n">
        <x:f>COUNTIFS('服务测试'!$D$5:$D$13,"已验证",'服务测试'!$S$5:$S$13,"&lt;&gt;已批准")+COUNTIFS('服务测试'!$D$5:$D$13,"已验证",'服务测试'!$T$5:$T$13,"")</x:f>
        <x:v>0</x:v>
      </x:c>
      <x:c r="C19" s="501" t="str">
        <x:v>0个缺口</x:v>
      </x:c>
      <x:c r="D19" s="501" t="n">
        <x:f>B19</x:f>
        <x:v>0</x:v>
      </x:c>
      <x:c r="E19" s="501" t="n">
        <x:v>0</x:v>
      </x:c>
      <x:c r="F19" s="501" t="str">
        <x:f>IF(B19=0,"OK","FAIL")</x:f>
        <x:v>OK</x:v>
      </x:c>
      <x:c r="G19" s="502" t="str">
        <x:v>服务测试!D/S/T列</x:v>
      </x:c>
    </x:row>
    <x:row r="20">
      <x:c r="A20" s="353" t="str">
        <x:v>O-03扩展保持暂停</x:v>
      </x:c>
      <x:c r="B20" s="354" t="str">
        <x:f>'服务测试'!$D$10</x:f>
        <x:v>暂停</x:v>
      </x:c>
      <x:c r="C20" s="354" t="str">
        <x:v>暂停</x:v>
      </x:c>
      <x:c r="D20" s="354" t="n">
        <x:f>IF(B20="暂停",0,1)</x:f>
        <x:v>0</x:v>
      </x:c>
      <x:c r="E20" s="354" t="n">
        <x:v>0</x:v>
      </x:c>
      <x:c r="F20" s="354" t="str">
        <x:f>IF(B20="暂停","OK","FAIL")</x:f>
        <x:v>OK</x:v>
      </x:c>
      <x:c r="G20" s="355" t="str">
        <x:v>服务测试!D10</x:v>
      </x:c>
    </x:row>
    <x:row r="21">
      <x:c r="A21" s="350" t="str">
        <x:v>O-04保持暂停</x:v>
      </x:c>
      <x:c r="B21" s="351" t="n">
        <x:f>COUNTIF('服务测试'!$D$11:$D$13,"&lt;&gt;暂停")</x:f>
        <x:v>0</x:v>
      </x:c>
      <x:c r="C21" s="351" t="str">
        <x:v>0个非暂停</x:v>
      </x:c>
      <x:c r="D21" s="351" t="n">
        <x:f>B21</x:f>
        <x:v>0</x:v>
      </x:c>
      <x:c r="E21" s="351" t="n">
        <x:v>0</x:v>
      </x:c>
      <x:c r="F21" s="351" t="str">
        <x:f>IF(B21=0,"OK","FAIL")</x:f>
        <x:v>OK</x:v>
      </x:c>
      <x:c r="G21" s="352" t="str">
        <x:v>服务测试!D11:D13</x:v>
      </x:c>
    </x:row>
    <x:row r="22">
      <x:c r="A22" s="356" t="str">
        <x:v>报价无服务资格阻断</x:v>
      </x:c>
      <x:c r="B22" s="357" t="n">
        <x:f>COUNTIF('报价'!$V$5:$V$54,"阻断*")</x:f>
        <x:v>0</x:v>
      </x:c>
      <x:c r="C22" s="357" t="str">
        <x:v>0个阻断</x:v>
      </x:c>
      <x:c r="D22" s="357" t="n">
        <x:f>B22</x:f>
        <x:v>0</x:v>
      </x:c>
      <x:c r="E22" s="357" t="n">
        <x:v>0</x:v>
      </x:c>
      <x:c r="F22" s="357" t="str">
        <x:f>IF(B22=0,"OK","FAIL")</x:f>
        <x:v>OK</x:v>
      </x:c>
      <x:c r="G22" s="358" t="str">
        <x:v>报价!U:V列</x:v>
      </x:c>
    </x:row>
    <x:row r="23">
      <x:c r="A23" s="505" t="str">
        <x:v>已批准/已验证服务成本状态非未知</x:v>
      </x:c>
      <x:c r="B23" s="506" t="n">
        <x:f>COUNTIFS('服务测试'!$D$5:$D$13,"付费测试已批准",'服务测试'!$U$5:$U$13,"未知")+COUNTIFS('服务测试'!$D$5:$D$13,"已验证",'服务测试'!$U$5:$U$13,"未知")</x:f>
        <x:v>0</x:v>
      </x:c>
      <x:c r="C23" s="506" t="str">
        <x:v>0个缺口</x:v>
      </x:c>
      <x:c r="D23" s="506" t="n">
        <x:f>B23</x:f>
        <x:v>0</x:v>
      </x:c>
      <x:c r="E23" s="506" t="n">
        <x:v>0</x:v>
      </x:c>
      <x:c r="F23" s="506" t="str">
        <x:f>IF(B23=0,"OK","FAIL")</x:f>
        <x:v>OK</x:v>
      </x:c>
      <x:c r="G23" s="507" t="str">
        <x:v>服务测试!D/U列</x:v>
      </x:c>
    </x:row>
    <x:row r="24">
      <x:c r="A24" t="str">
        <x:v>已批准服务现金贡献达到目标</x:v>
      </x:c>
      <x:c r="B24" t="n">
        <x:f>COUNTIF('服务测试'!$R$5:$R$13,"现金贡献率不足")</x:f>
        <x:v>0</x:v>
      </x:c>
      <x:c r="C24" t="str">
        <x:v>0个缺口</x:v>
      </x:c>
      <x:c r="D24" t="n">
        <x:f>B24</x:f>
        <x:v>0</x:v>
      </x:c>
      <x:c r="E24" t="n">
        <x:v>0</x:v>
      </x:c>
      <x:c r="F24" t="str">
        <x:f>IF(B24=0,"OK","FAIL")</x:f>
        <x:v>OK</x:v>
      </x:c>
      <x:c r="G24" t="str">
        <x:v>服务测试!D/J/L列</x:v>
      </x:c>
    </x:row>
    <x:row r="25">
      <x:c r="A25" t="str">
        <x:v>报价订金覆盖全部现金成本</x:v>
      </x:c>
      <x:c r="B25" t="n">
        <x:f>COUNTIF('报价'!$V$5:$V$54,"阻断：订金不足*")</x:f>
        <x:v>0</x:v>
      </x:c>
      <x:c r="C25" t="str">
        <x:v>0个阻断</x:v>
      </x:c>
      <x:c r="D25" t="n">
        <x:f>B25</x:f>
        <x:v>0</x:v>
      </x:c>
      <x:c r="E25" t="n">
        <x:v>0</x:v>
      </x:c>
      <x:c r="F25" t="str">
        <x:f>IF(B25=0,"OK","FAIL")</x:f>
        <x:v>OK</x:v>
      </x:c>
      <x:c r="G25" t="str">
        <x:v>报价!I/L/P/V列</x:v>
      </x:c>
    </x:row>
    <x:row r="26">
      <x:c r="A26" t="str">
        <x:v>报价经济贡献率达到50%</x:v>
      </x:c>
      <x:c r="B26" t="n">
        <x:f>COUNTIF('报价'!$V$5:$V$54,"阻断：经济贡献率*")</x:f>
        <x:v>0</x:v>
      </x:c>
      <x:c r="C26" t="str">
        <x:v>0个阻断</x:v>
      </x:c>
      <x:c r="D26" t="n">
        <x:f>B26</x:f>
        <x:v>0</x:v>
      </x:c>
      <x:c r="E26" t="n">
        <x:v>0</x:v>
      </x:c>
      <x:c r="F26" t="str">
        <x:f>IF(B26=0,"OK","FAIL")</x:f>
        <x:v>OK</x:v>
      </x:c>
      <x:c r="G26" t="str">
        <x:v>报价!N/V列</x:v>
      </x:c>
    </x:row>
    <x:row r="27">
      <x:c r="A27" t="str">
        <x:v>报价现金贡献率达到服务目标</x:v>
      </x:c>
      <x:c r="B27" t="n">
        <x:f>COUNTIF('报价'!$V$5:$V$54,"阻断：现金贡献率*")</x:f>
        <x:v>0</x:v>
      </x:c>
      <x:c r="C27" t="str">
        <x:v>0个阻断</x:v>
      </x:c>
      <x:c r="D27" t="n">
        <x:f>B27</x:f>
        <x:v>0</x:v>
      </x:c>
      <x:c r="E27" t="n">
        <x:v>0</x:v>
      </x:c>
      <x:c r="F27" t="str">
        <x:f>IF(B27=0,"OK","FAIL")</x:f>
        <x:v>OK</x:v>
      </x:c>
      <x:c r="G27" t="str">
        <x:v>报价!H/I/L/U/V列</x:v>
      </x:c>
    </x:row>
  </x:sheetData>
  <x:mergeCells>
    <x:mergeCell ref="A1:G1"/>
  </x:mergeCells>
  <x:conditionalFormatting sqref="B2:B2">
    <x:cfRule type="containsText" dxfId="11" priority="1" operator="containsText" text="PASS"/>
    <x:cfRule type="containsText" dxfId="12" priority="2" operator="containsText" text="FAIL"/>
  </x:conditionalFormatting>
  <x:conditionalFormatting sqref="F5:F13">
    <x:cfRule type="containsText" dxfId="13" priority="3" operator="containsText" text="OK"/>
    <x:cfRule type="containsText" dxfId="14" priority="4" operator="containsText" text="FAIL"/>
  </x:conditionalFormatting>
  <x:conditionalFormatting sqref="F14:F18">
    <x:cfRule type="containsText" dxfId="17" priority="5" operator="containsText" text="FAIL"/>
    <x:cfRule type="containsText" dxfId="18" priority="6" operator="containsText" text="OK"/>
  </x:conditionalFormatting>
  <x:conditionalFormatting sqref="F19:F22">
    <x:cfRule type="containsText" dxfId="19" priority="7" operator="containsText" text="FAIL"/>
    <x:cfRule type="containsText" dxfId="22" priority="10" operator="containsText" text="OK"/>
  </x:conditionalFormatting>
  <x:conditionalFormatting sqref="F23:F23">
    <x:cfRule type="containsText" dxfId="20" priority="8" operator="containsText" text="FAIL"/>
    <x:cfRule type="containsText" dxfId="21" priority="9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fc854cb2d61e47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32" hidden="0" customWidth="1"/>
    <x:col min="5" max="5" width="24" hidden="0" customWidth="1"/>
    <x:col min="6" max="6" width="18" hidden="0" customWidth="1"/>
    <x:col min="7" max="7" width="24" hidden="0" customWidth="1"/>
    <x:col min="8" max="8" width="24" hidden="0" customWidth="1"/>
    <x:col min="9" max="9" width="38" hidden="0" customWidth="1"/>
    <x:col min="10" max="10" width="30" hidden="0" customWidth="1"/>
  </x:cols>
  <x:sheetData>
    <x:row r="1" ht="32" customHeight="1">
      <x:c r="A1" s="433" t="str">
        <x:v>年末10万元目标桥接｜先看证据、产能和现金门</x:v>
      </x:c>
      <x:c r="B1" s="433"/>
      <x:c r="C1" s="433"/>
      <x:c r="D1" s="433"/>
      <x:c r="E1" s="433"/>
      <x:c r="F1" s="433"/>
      <x:c r="G1" s="433"/>
      <x:c r="H1" s="433"/>
      <x:c r="I1" s="433"/>
      <x:c r="J1" s="433"/>
    </x:row>
    <x:row r="2" ht="30" customHeight="1">
      <x:c r="A2" s="434" t="str">
        <x:v>当前所有服务仍处于暂停或待验证状态。下列订单组合只是算术压力测试，不是销售预测、报价建议或利润保证。</x:v>
      </x:c>
      <x:c r="B2" s="434"/>
      <x:c r="C2" s="434"/>
      <x:c r="D2" s="434"/>
      <x:c r="E2" s="434"/>
      <x:c r="F2" s="434"/>
      <x:c r="G2" s="434"/>
      <x:c r="H2" s="434"/>
      <x:c r="I2" s="434"/>
      <x:c r="J2" s="434"/>
    </x:row>
    <x:row r="3">
      <x:c r="A3" s="435"/>
      <x:c r="B3" s="435"/>
      <x:c r="C3" s="435"/>
      <x:c r="D3" s="435"/>
      <x:c r="E3" s="435"/>
      <x:c r="F3" s="435"/>
      <x:c r="G3" s="435"/>
      <x:c r="H3" s="435"/>
      <x:c r="I3" s="435"/>
      <x:c r="J3" s="435"/>
    </x:row>
    <x:row r="4">
      <x:c r="A4" s="436" t="str">
        <x:v>现金目标桥接</x:v>
      </x:c>
      <x:c r="B4" s="436"/>
      <x:c r="C4" s="435"/>
      <x:c r="D4" s="436" t="str">
        <x:v>产能与解锁状态</x:v>
      </x:c>
      <x:c r="E4" s="436"/>
      <x:c r="F4" s="435"/>
      <x:c r="G4" s="435"/>
      <x:c r="H4" s="435"/>
      <x:c r="I4" s="435"/>
      <x:c r="J4" s="435"/>
    </x:row>
    <x:row r="5">
      <x:c r="A5" s="497" t="str">
        <x:v>模型基准日</x:v>
      </x:c>
      <x:c r="B5" s="438" t="n">
        <x:f>'说明与目标'!$B$6</x:f>
        <x:v>46256</x:v>
      </x:c>
      <x:c r="C5" s="435"/>
      <x:c r="D5" s="497" t="str">
        <x:v>当前可计入基准预测的服务数</x:v>
      </x:c>
      <x:c r="E5" s="439" t="n">
        <x:f>COUNTIFS('服务测试'!$D$5:$D$13,"已验证",'服务测试'!$S$5:$S$13,"已批准",'服务测试'!$T$5:$T$13,"&lt;&gt;",'服务测试'!$U$5:$U$13,"&lt;&gt;未知")</x:f>
        <x:v>0</x:v>
      </x:c>
      <x:c r="F5" s="435"/>
      <x:c r="G5" s="435"/>
      <x:c r="H5" s="435"/>
      <x:c r="I5" s="435"/>
      <x:c r="J5" s="435"/>
    </x:row>
    <x:row r="6">
      <x:c r="A6" s="498" t="str">
        <x:v>目标截止日</x:v>
      </x:c>
      <x:c r="B6" s="441" t="n">
        <x:f>'说明与目标'!$B$7</x:f>
        <x:v>46387</x:v>
      </x:c>
      <x:c r="C6" s="435"/>
      <x:c r="D6" s="498" t="str">
        <x:v>每周可投入工时</x:v>
      </x:c>
      <x:c r="E6" s="442" t="n">
        <x:f>'说明与目标'!$B$15</x:f>
        <x:v>0</x:v>
      </x:c>
      <x:c r="F6" s="435"/>
      <x:c r="G6" s="435"/>
      <x:c r="H6" s="435"/>
      <x:c r="I6" s="435"/>
      <x:c r="J6" s="435"/>
    </x:row>
    <x:row r="7">
      <x:c r="A7" s="498" t="str">
        <x:v>目标净利润（CNY）</x:v>
      </x:c>
      <x:c r="B7" s="443" t="n">
        <x:f>'说明与目标'!$B$8</x:f>
        <x:v>100000</x:v>
      </x:c>
      <x:c r="C7" s="435"/>
      <x:c r="D7" s="498" t="str">
        <x:v>创始人小时成本（CNY）</x:v>
      </x:c>
      <x:c r="E7" s="442" t="n">
        <x:f>'说明与目标'!$B$16</x:f>
        <x:v>0</x:v>
      </x:c>
      <x:c r="F7" s="435"/>
      <x:c r="G7" s="435"/>
      <x:c r="H7" s="435"/>
      <x:c r="I7" s="435"/>
      <x:c r="J7" s="435"/>
    </x:row>
    <x:row r="8">
      <x:c r="A8" s="498" t="str">
        <x:v>当前目标口径净利润（CNY）</x:v>
      </x:c>
      <x:c r="B8" s="443" t="n">
        <x:f>'说明与目标'!$F$7</x:f>
        <x:v>0</x:v>
      </x:c>
      <x:c r="C8" s="435"/>
      <x:c r="D8" s="498" t="str">
        <x:v>可用于交付的工时比例</x:v>
      </x:c>
      <x:c r="E8" s="444" t="n">
        <x:f>'说明与目标'!$B$17</x:f>
        <x:v>0</x:v>
      </x:c>
      <x:c r="F8" s="435"/>
      <x:c r="G8" s="435"/>
      <x:c r="H8" s="435"/>
      <x:c r="I8" s="435"/>
      <x:c r="J8" s="435"/>
    </x:row>
    <x:row r="9">
      <x:c r="A9" s="498" t="str">
        <x:v>剩余缺口（CNY）</x:v>
      </x:c>
      <x:c r="B9" s="443" t="n">
        <x:f>MAX(0,B7-B8)</x:f>
        <x:v>100000</x:v>
      </x:c>
      <x:c r="C9" s="435"/>
      <x:c r="D9" s="498" t="str">
        <x:v>每周可用交付工时</x:v>
      </x:c>
      <x:c r="E9" s="445" t="str">
        <x:f>IF(AND(E6&gt;0,E8&gt;0),E6*E8,"")</x:f>
      </x:c>
      <x:c r="F9" s="435"/>
      <x:c r="G9" s="435"/>
      <x:c r="H9" s="435"/>
      <x:c r="I9" s="435"/>
      <x:c r="J9" s="435"/>
    </x:row>
    <x:row r="10">
      <x:c r="A10" s="498" t="str">
        <x:v>剩余周数</x:v>
      </x:c>
      <x:c r="B10" s="446" t="n">
        <x:f>'说明与目标'!$F$12</x:f>
        <x:v>19</x:v>
      </x:c>
      <x:c r="C10" s="435"/>
      <x:c r="D10" s="498" t="str">
        <x:v>Checks状态</x:v>
      </x:c>
      <x:c r="E10" s="447" t="str">
        <x:f>'Checks'!$B$2</x:f>
        <x:v>FAIL</x:v>
      </x:c>
      <x:c r="F10" s="435"/>
      <x:c r="G10" s="435"/>
      <x:c r="H10" s="435"/>
      <x:c r="I10" s="435"/>
      <x:c r="J10" s="435"/>
    </x:row>
    <x:row r="11">
      <x:c r="A11" s="498" t="str">
        <x:v>每周现金利润缺口（CNY）</x:v>
      </x:c>
      <x:c r="B11" s="443" t="n">
        <x:f>IF(B10&gt;0,B9/B10,"")</x:f>
        <x:v>5263.1578947368425</x:v>
      </x:c>
      <x:c r="C11" s="435"/>
      <x:c r="D11" s="499" t="str">
        <x:v>当前经营判定</x:v>
      </x:c>
      <x:c r="E11" s="449" t="str">
        <x:f>IF(E10&lt;&gt;"PASS","不可规划：先修复Checks",IF(E5=0,"输入已齐，但没有已验证且有证据批准的服务","可滚动规划；逐单仍须过报价门"))</x:f>
        <x:v>不可规划：先修复Checks</x:v>
      </x:c>
      <x:c r="F11" s="435"/>
      <x:c r="G11" s="435"/>
      <x:c r="H11" s="435"/>
      <x:c r="I11" s="435"/>
      <x:c r="J11" s="435"/>
    </x:row>
    <x:row r="12">
      <x:c r="A12" s="498" t="str">
        <x:v>规划现金贡献率</x:v>
      </x:c>
      <x:c r="B12" s="444" t="n">
        <x:f>'服务测试'!$J$5</x:f>
        <x:v>0.65</x:v>
      </x:c>
      <x:c r="C12" s="435"/>
      <x:c r="D12" s="435"/>
      <x:c r="E12" s="435"/>
      <x:c r="F12" s="435"/>
      <x:c r="G12" s="435"/>
      <x:c r="H12" s="435"/>
      <x:c r="I12" s="435"/>
      <x:c r="J12" s="435"/>
    </x:row>
    <x:row r="13">
      <x:c r="A13" s="498" t="str">
        <x:v>至少所需净服务收入（CNY）</x:v>
      </x:c>
      <x:c r="B13" s="443" t="n">
        <x:f>IF(B12&gt;0,ROUNDUP(B9/B12,0),"")</x:f>
        <x:v>153847</x:v>
      </x:c>
      <x:c r="C13" s="435"/>
      <x:c r="D13" s="435"/>
      <x:c r="E13" s="435"/>
      <x:c r="F13" s="435"/>
      <x:c r="G13" s="435"/>
      <x:c r="H13" s="435"/>
      <x:c r="I13" s="435"/>
      <x:c r="J13" s="435"/>
    </x:row>
    <x:row r="14">
      <x:c r="A14" s="498" t="str">
        <x:v>每周净服务收入要求（CNY）</x:v>
      </x:c>
      <x:c r="B14" s="443" t="n">
        <x:f>IF(B10&gt;0,ROUNDUP(B13/B10,0),"")</x:f>
        <x:v>8098</x:v>
      </x:c>
      <x:c r="C14" s="435"/>
      <x:c r="D14" s="435"/>
      <x:c r="E14" s="435"/>
      <x:c r="F14" s="435"/>
      <x:c r="G14" s="435"/>
      <x:c r="H14" s="435"/>
      <x:c r="I14" s="435"/>
      <x:c r="J14" s="435"/>
    </x:row>
    <x:row r="15">
      <x:c r="A15" s="499" t="str">
        <x:v>规划允许的业务成本总额（CNY）</x:v>
      </x:c>
      <x:c r="B15" s="450" t="n">
        <x:f>IF(B13="","",B13-B9)</x:f>
        <x:v>53847</x:v>
      </x:c>
      <x:c r="C15" s="435"/>
      <x:c r="D15" s="435"/>
      <x:c r="E15" s="435"/>
      <x:c r="F15" s="435"/>
      <x:c r="G15" s="435"/>
      <x:c r="H15" s="435"/>
      <x:c r="I15" s="435"/>
      <x:c r="J15" s="435"/>
    </x:row>
    <x:row r="16">
      <x:c r="A16" s="435"/>
      <x:c r="B16" s="435"/>
      <x:c r="C16" s="435"/>
      <x:c r="D16" s="435"/>
      <x:c r="E16" s="435"/>
      <x:c r="F16" s="435"/>
      <x:c r="G16" s="435"/>
      <x:c r="H16" s="435"/>
      <x:c r="I16" s="435"/>
      <x:c r="J16" s="435"/>
    </x:row>
    <x:row r="17">
      <x:c r="A17" s="451" t="str">
        <x:v>订单组合压力测试｜全部使用65%规划现金贡献率</x:v>
      </x:c>
      <x:c r="B17" s="451"/>
      <x:c r="C17" s="451"/>
      <x:c r="D17" s="451"/>
      <x:c r="E17" s="451"/>
      <x:c r="F17" s="451"/>
      <x:c r="G17" s="451"/>
      <x:c r="H17" s="451"/>
      <x:c r="I17" s="451"/>
      <x:c r="J17" s="451"/>
    </x:row>
    <x:row r="18">
      <x:c r="A18" s="452" t="str">
        <x:v>情景</x:v>
      </x:c>
      <x:c r="B18" s="452" t="str">
        <x:v>O-03A 单数</x:v>
      </x:c>
      <x:c r="C18" s="452" t="str">
        <x:v>O-03B 单数</x:v>
      </x:c>
      <x:c r="D18" s="452" t="str">
        <x:v>O-04A 客户月</x:v>
      </x:c>
      <x:c r="E18" s="452" t="str">
        <x:v>净服务收入CNY</x:v>
      </x:c>
      <x:c r="F18" s="452" t="str">
        <x:v>规划现金贡献CNY</x:v>
      </x:c>
      <x:c r="G18" s="452" t="str">
        <x:v>总交付工时</x:v>
      </x:c>
      <x:c r="H18" s="452" t="str">
        <x:v>每周交付工时</x:v>
      </x:c>
      <x:c r="I18" s="452" t="str">
        <x:v>当前解释</x:v>
      </x:c>
      <x:c r="J18" s="452" t="str">
        <x:v>产能检查</x:v>
      </x:c>
    </x:row>
    <x:row r="19" ht="38" customHeight="1">
      <x:c r="A19" s="453" t="str">
        <x:v>情景A｜只做O-03A</x:v>
      </x:c>
      <x:c r="B19" s="454" t="n">
        <x:v>13</x:v>
      </x:c>
      <x:c r="C19" s="454" t="n">
        <x:v>0</x:v>
      </x:c>
      <x:c r="D19" s="454" t="n">
        <x:v>0</x:v>
      </x:c>
      <x:c r="E19" s="455" t="n">
        <x:f>B19*'服务测试'!$G$9+C19*'服务测试'!$G$10+D19*'服务测试'!$G$11</x:f>
        <x:v>162500</x:v>
      </x:c>
      <x:c r="F19" s="455" t="n">
        <x:f>E19*$B$12</x:f>
        <x:v>105625</x:v>
      </x:c>
      <x:c r="G19" s="456" t="n">
        <x:f>B19*'服务测试'!$H$9+C19*'服务测试'!$H$10+D19*'服务测试'!$H$11</x:f>
        <x:v>390</x:v>
      </x:c>
      <x:c r="H19" s="456" t="n">
        <x:f>IF($B$10&gt;0,G19/$B$10,"")</x:f>
        <x:v>20.526315789473685</x:v>
      </x:c>
      <x:c r="I19" s="457" t="str">
        <x:v>O-03A待验证；不可当销售计划</x:v>
      </x:c>
      <x:c r="J19" s="458" t="str">
        <x:f>IF($E$9="","不可判断：先填每周产能",IF(H19&gt;$E$9,"不可执行：超过每周交付产能","算术产能通过；仍须过服务和销售门"))</x:f>
        <x:v>不可判断：先填每周产能</x:v>
      </x:c>
    </x:row>
    <x:row r="20" ht="38" customHeight="1">
      <x:c r="A20" s="459" t="str">
        <x:v>情景B｜只做O-03B</x:v>
      </x:c>
      <x:c r="B20" s="460" t="n">
        <x:v>0</x:v>
      </x:c>
      <x:c r="C20" s="460" t="n">
        <x:v>9</x:v>
      </x:c>
      <x:c r="D20" s="460" t="n">
        <x:v>0</x:v>
      </x:c>
      <x:c r="E20" s="461" t="n">
        <x:f>B20*'服务测试'!$G$9+C20*'服务测试'!$G$10+D20*'服务测试'!$G$11</x:f>
        <x:v>157500</x:v>
      </x:c>
      <x:c r="F20" s="461" t="n">
        <x:f>E20*$B$12</x:f>
        <x:v>102375</x:v>
      </x:c>
      <x:c r="G20" s="462" t="n">
        <x:f>B20*'服务测试'!$H$9+C20*'服务测试'!$H$10+D20*'服务测试'!$H$11</x:f>
        <x:v>360</x:v>
      </x:c>
      <x:c r="H20" s="462" t="n">
        <x:f>IF($B$10&gt;0,G20/$B$10,"")</x:f>
        <x:v>18.94736842105263</x:v>
      </x:c>
      <x:c r="I20" s="463" t="str">
        <x:v>O-03B待验证；不可当销售计划</x:v>
      </x:c>
      <x:c r="J20" s="464" t="str">
        <x:f>IF($E$9="","不可判断：先填每周产能",IF(H20&gt;$E$9,"不可执行：超过每周交付产能","算术产能通过；仍须过服务和销售门"))</x:f>
        <x:v>不可判断：先填每周产能</x:v>
      </x:c>
    </x:row>
    <x:row r="21" ht="38" customHeight="1">
      <x:c r="A21" s="465" t="str">
        <x:v>情景C｜O-03A + O-04A</x:v>
      </x:c>
      <x:c r="B21" s="466" t="n">
        <x:v>8</x:v>
      </x:c>
      <x:c r="C21" s="466" t="n">
        <x:v>0</x:v>
      </x:c>
      <x:c r="D21" s="466" t="n">
        <x:v>9</x:v>
      </x:c>
      <x:c r="E21" s="467" t="n">
        <x:f>B21*'服务测试'!$G$9+C21*'服务测试'!$G$10+D21*'服务测试'!$G$11</x:f>
        <x:v>154000</x:v>
      </x:c>
      <x:c r="F21" s="467" t="n">
        <x:f>E21*$B$12</x:f>
        <x:v>100100</x:v>
      </x:c>
      <x:c r="G21" s="468" t="n">
        <x:f>B21*'服务测试'!$H$9+C21*'服务测试'!$H$10+D21*'服务测试'!$H$11</x:f>
        <x:v>375</x:v>
      </x:c>
      <x:c r="H21" s="468" t="n">
        <x:f>IF($B$10&gt;0,G21/$B$10,"")</x:f>
        <x:v>19.736842105263158</x:v>
      </x:c>
      <x:c r="I21" s="469" t="str">
        <x:v>O-03A待验证，O-04A后置且暂停；不可当销售计划</x:v>
      </x:c>
      <x:c r="J21" s="470" t="str">
        <x:f>IF($E$9="","不可判断：先填每周产能",IF(H21&gt;$E$9,"不可执行：超过每周交付产能","算术产能通过；仍须过服务和销售门"))</x:f>
        <x:v>不可判断：先填每周产能</x:v>
      </x:c>
    </x:row>
    <x:row r="22" ht="38" customHeight="1">
      <x:c r="A22" s="471" t="str">
        <x:v>情景A=13单O-03A（390小时）；情景B=9单O-03B（360小时）；情景C=8单O-03A+9个O-04A客户月（375小时）。O-04A的“客户月”可由不同客户和月份构成，不等于9个独立客户。所有外部成本与转化率仍未知。</x:v>
      </x:c>
      <x:c r="B22" s="471"/>
      <x:c r="C22" s="471"/>
      <x:c r="D22" s="471"/>
      <x:c r="E22" s="471"/>
      <x:c r="F22" s="471"/>
      <x:c r="G22" s="471"/>
      <x:c r="H22" s="471"/>
      <x:c r="I22" s="471"/>
      <x:c r="J22" s="471"/>
    </x:row>
    <x:row r="23">
      <x:c r="A23" s="435"/>
      <x:c r="B23" s="435"/>
      <x:c r="C23" s="435"/>
      <x:c r="D23" s="435"/>
      <x:c r="E23" s="435"/>
      <x:c r="F23" s="435"/>
      <x:c r="G23" s="435"/>
      <x:c r="H23" s="435"/>
      <x:c r="I23" s="435"/>
      <x:c r="J23" s="435"/>
    </x:row>
    <x:row r="24">
      <x:c r="A24" s="436" t="str">
        <x:v>漏斗反推｜不填真实转化率就不输出数量</x:v>
      </x:c>
      <x:c r="B24" s="436"/>
      <x:c r="C24" s="436"/>
      <x:c r="D24" s="436"/>
      <x:c r="E24" s="435"/>
      <x:c r="F24" s="436" t="str">
        <x:v>建议控制窗口｜可滚动，不是结果承诺</x:v>
      </x:c>
      <x:c r="G24" s="436"/>
      <x:c r="H24" s="436"/>
      <x:c r="I24" s="436"/>
      <x:c r="J24" s="435"/>
    </x:row>
    <x:row r="25">
      <x:c r="A25" s="451" t="str">
        <x:v>变量</x:v>
      </x:c>
      <x:c r="B25" s="451" t="str">
        <x:v>创始人输入</x:v>
      </x:c>
      <x:c r="C25" s="451" t="str">
        <x:v>状态</x:v>
      </x:c>
      <x:c r="D25" s="451" t="str">
        <x:v>说明</x:v>
      </x:c>
      <x:c r="E25" s="435"/>
      <x:c r="F25" s="451" t="str">
        <x:v>窗口</x:v>
      </x:c>
      <x:c r="G25" s="451" t="str">
        <x:v>阶段</x:v>
      </x:c>
      <x:c r="H25" s="451" t="str">
        <x:v>进入/退出门</x:v>
      </x:c>
      <x:c r="I25" s="451" t="str">
        <x:v>禁止事项</x:v>
      </x:c>
      <x:c r="J25" s="435"/>
    </x:row>
    <x:row r="26" ht="44" customHeight="1">
      <x:c r="A26" s="437" t="str">
        <x:v>计划需回款的合同单位</x:v>
      </x:c>
      <x:c r="B26" s="472"/>
      <x:c r="C26" s="473" t="str">
        <x:f>IF(B26="","待填写","已填写")</x:f>
        <x:v>待填写</x:v>
      </x:c>
      <x:c r="D26" s="474" t="str">
        <x:v>按最终选定情景和回款节奏填写；客户月不能直接等同合同数</x:v>
      </x:c>
      <x:c r="E26" s="435"/>
      <x:c r="F26" s="475" t="str">
        <x:v>08-22—09-04</x:v>
      </x:c>
      <x:c r="G26" s="476" t="str">
        <x:v>补齐经营输入与能力证据</x:v>
      </x:c>
      <x:c r="H26" s="476" t="str">
        <x:v>填工时/时薪/税口径；完成O-01手工计时、O-02外部复核与书面报价</x:v>
      </x:c>
      <x:c r="I26" s="477" t="str">
        <x:v>硬门未过不报价</x:v>
      </x:c>
      <x:c r="J26" s="435"/>
    </x:row>
    <x:row r="27" ht="44" customHeight="1">
      <x:c r="A27" s="440" t="str">
        <x:v>有效接触→访谈</x:v>
      </x:c>
      <x:c r="B27" s="478"/>
      <x:c r="C27" s="479" t="str">
        <x:f>IF(B27="","待填写","已填写")</x:f>
        <x:v>待填写</x:v>
      </x:c>
      <x:c r="D27" s="447" t="str">
        <x:v>必须用真实接触数据滚动替换</x:v>
      </x:c>
      <x:c r="E27" s="435"/>
      <x:c r="F27" s="480" t="str">
        <x:v>09-05—09-18</x:v>
      </x:c>
      <x:c r="G27" s="481" t="str">
        <x:v>客户发现</x:v>
      </x:c>
      <x:c r="H27" s="481" t="str">
        <x:v>至少10次真实目标客户沟通；同一问题少于3次则换问题或ICP</x:v>
      </x:c>
      <x:c r="I27" s="482" t="str">
        <x:v>不把兴趣当付款意愿</x:v>
      </x:c>
      <x:c r="J27" s="435"/>
    </x:row>
    <x:row r="28" ht="44" customHeight="1">
      <x:c r="A28" s="440" t="str">
        <x:v>访谈→合格</x:v>
      </x:c>
      <x:c r="B28" s="478"/>
      <x:c r="C28" s="479" t="str">
        <x:f>IF(B28="","待填写","已填写")</x:f>
        <x:v>待填写</x:v>
      </x:c>
      <x:c r="D28" s="447" t="str">
        <x:v>必须同时有具体问题、决策人、预算条件和材料能力</x:v>
      </x:c>
      <x:c r="E28" s="435"/>
      <x:c r="F28" s="483" t="str">
        <x:v>09-19—10-16</x:v>
      </x:c>
      <x:c r="G28" s="484" t="str">
        <x:v>窄范围付费测试</x:v>
      </x:c>
      <x:c r="H28" s="484" t="str">
        <x:v>只测试已过硬门的服务；每个拟标准化服务至少2个真实付费测试</x:v>
      </x:c>
      <x:c r="I28" s="485" t="str">
        <x:v>不卖扩展档，不免费加范围</x:v>
      </x:c>
      <x:c r="J28" s="435"/>
    </x:row>
    <x:row r="29" ht="44" customHeight="1">
      <x:c r="A29" s="440" t="str">
        <x:v>合格→报价</x:v>
      </x:c>
      <x:c r="B29" s="478"/>
      <x:c r="C29" s="479" t="str">
        <x:f>IF(B29="","待填写","已填写")</x:f>
        <x:v>待填写</x:v>
      </x:c>
      <x:c r="D29" s="447" t="str">
        <x:v>报价必须先过范围、成本和服务硬门</x:v>
      </x:c>
      <x:c r="E29" s="435"/>
      <x:c r="F29" s="480" t="str">
        <x:v>10-17—11-13</x:v>
      </x:c>
      <x:c r="G29" s="481" t="str">
        <x:v>固定一个可重复交付</x:v>
      </x:c>
      <x:c r="H29" s="481" t="str">
        <x:v>经济贡献为正，现金/经济贡献率过线，输入/步骤/验收可复用</x:v>
      </x:c>
      <x:c r="I29" s="482" t="str">
        <x:v>不同时扩展多个未验证服务</x:v>
      </x:c>
      <x:c r="J29" s="435"/>
    </x:row>
    <x:row r="30" ht="44" customHeight="1">
      <x:c r="A30" s="440" t="str">
        <x:v>报价→订金</x:v>
      </x:c>
      <x:c r="B30" s="478"/>
      <x:c r="C30" s="479" t="str">
        <x:f>IF(B30="","待填写","已填写")</x:f>
        <x:v>待填写</x:v>
      </x:c>
      <x:c r="D30" s="447" t="str">
        <x:v>只记录真实到账订金</x:v>
      </x:c>
      <x:c r="E30" s="435"/>
      <x:c r="F30" s="486" t="str">
        <x:v>11-14—12-31</x:v>
      </x:c>
      <x:c r="G30" s="487" t="str">
        <x:v>收款与有证据扩张</x:v>
      </x:c>
      <x:c r="H30" s="487" t="str">
        <x:v>只扩大已有真实回款、真实工时和客户确认的服务</x:v>
      </x:c>
      <x:c r="I30" s="488" t="str">
        <x:v>不垫资，不新增无法年内回款的长周期项目</x:v>
      </x:c>
      <x:c r="J30" s="435"/>
    </x:row>
    <x:row r="31" ht="44" customHeight="1">
      <x:c r="A31" s="440" t="str">
        <x:v>订金→年内完成回款</x:v>
      </x:c>
      <x:c r="B31" s="478"/>
      <x:c r="C31" s="479" t="str">
        <x:f>IF(B31="","待填写","已填写")</x:f>
        <x:v>待填写</x:v>
      </x:c>
      <x:c r="D31" s="447" t="str">
        <x:v>只记录在2026-12-31前真实到账的尾款</x:v>
      </x:c>
      <x:c r="E31" s="435"/>
      <x:c r="F31" s="489" t="str">
        <x:v>前一阶段门未通过时，后续窗口整体顺延；日期到达不自动升级。</x:v>
      </x:c>
      <x:c r="G31" s="489"/>
      <x:c r="H31" s="489"/>
      <x:c r="I31" s="489"/>
      <x:c r="J31" s="435"/>
    </x:row>
    <x:row r="32">
      <x:c r="A32" s="440" t="str">
        <x:v>反推所需有效接触</x:v>
      </x:c>
      <x:c r="B32" s="479" t="str">
        <x:f>IF(OR(COUNTBLANK(B26:B31)&gt;0,PRODUCT(B27:B31)=0),"待填写",ROUNDUP(B26/PRODUCT(B27:B31),0))</x:f>
        <x:v>待填写</x:v>
      </x:c>
      <x:c r="C32" s="479"/>
      <x:c r="D32" s="490"/>
      <x:c r="E32" s="435"/>
      <x:c r="F32" s="491" t="str">
        <x:v>O-02外部复核或询价只可在具体供应方、材料、范围、金额和授权层级获单独批准后执行；询价许可不等于NDA、材料发送、采购或付款许可。</x:v>
      </x:c>
      <x:c r="G32" s="491"/>
      <x:c r="H32" s="491"/>
      <x:c r="I32" s="491"/>
      <x:c r="J32" s="435"/>
    </x:row>
    <x:row r="33">
      <x:c r="A33" s="448" t="str">
        <x:v>反推所需报价</x:v>
      </x:c>
      <x:c r="B33" s="492" t="str">
        <x:f>IF(OR(B26="",B30="",B31="",B30*B31=0),"待填写",ROUNDUP(B26/(B30*B31),0))</x:f>
        <x:v>待填写</x:v>
      </x:c>
      <x:c r="C33" s="492"/>
      <x:c r="D33" s="493"/>
      <x:c r="E33" s="435"/>
      <x:c r="F33" s="491"/>
      <x:c r="G33" s="491"/>
      <x:c r="H33" s="491"/>
      <x:c r="I33" s="491"/>
      <x:c r="J33" s="435"/>
    </x:row>
    <x:row r="34">
      <x:c r="A34" s="435"/>
      <x:c r="B34" s="435"/>
      <x:c r="C34" s="435"/>
      <x:c r="D34" s="435"/>
      <x:c r="E34" s="435"/>
      <x:c r="F34" s="435"/>
      <x:c r="G34" s="435"/>
      <x:c r="H34" s="435"/>
      <x:c r="I34" s="435"/>
      <x:c r="J34" s="435"/>
    </x:row>
    <x:row r="35" ht="40" customHeight="1">
      <x:c r="A35" s="494" t="str">
        <x:v>安全判定：如果完成10万元必须依赖暂停服务、未经验证转化率、超出可用工时、垫资、打折亏损或结果保证，则该路径当前不可执行。调整目标、范围或时间，不调整事实。</x:v>
      </x:c>
      <x:c r="B35" s="495"/>
      <x:c r="C35" s="495"/>
      <x:c r="D35" s="495"/>
      <x:c r="E35" s="495"/>
      <x:c r="F35" s="495"/>
      <x:c r="G35" s="495"/>
      <x:c r="H35" s="495"/>
      <x:c r="I35" s="495"/>
      <x:c r="J35" s="496"/>
    </x:row>
  </x:sheetData>
  <x:mergeCells>
    <x:mergeCell ref="A1:J1"/>
    <x:mergeCell ref="A2:J2"/>
    <x:mergeCell ref="A4:B4"/>
    <x:mergeCell ref="D4:E4"/>
    <x:mergeCell ref="A17:J17"/>
    <x:mergeCell ref="A22:J22"/>
    <x:mergeCell ref="A24:D24"/>
    <x:mergeCell ref="F24:I24"/>
    <x:mergeCell ref="F31:I31"/>
    <x:mergeCell ref="F32:I33"/>
    <x:mergeCell ref="A35:J35"/>
  </x:mergeCells>
  <x:dataValidations count="1">
    <x:dataValidation type="decimal" operator="between" sqref="B27:B31">
      <x:formula1>0</x:formula1>
      <x:formula2>1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36" hidden="0" customWidth="1"/>
    <x:col min="4" max="4" width="12" hidden="0" customWidth="1"/>
    <x:col min="5" max="5" width="16" hidden="0" customWidth="1"/>
    <x:col min="6" max="6" width="25" hidden="0" customWidth="1"/>
    <x:col min="7" max="7" width="29" hidden="0" customWidth="1"/>
    <x:col min="8" max="8" width="36" hidden="0" customWidth="1"/>
    <x:col min="9" max="9" width="16" hidden="0" customWidth="1"/>
    <x:col min="10" max="10" width="34" hidden="0" customWidth="1"/>
  </x:cols>
  <x:sheetData>
    <x:row r="1" ht="34" customHeight="1">
      <x:c r="A1" s="510" t="str">
        <x:v>O-01｜50,000日元单位经济决策模型</x:v>
      </x:c>
      <x:c r="B1" s="510"/>
      <x:c r="C1" s="510"/>
      <x:c r="D1" s="510"/>
      <x:c r="E1" s="510"/>
      <x:c r="F1" s="510"/>
      <x:c r="G1" s="510"/>
      <x:c r="H1" s="510"/>
      <x:c r="I1" s="510"/>
      <x:c r="J1" s="510"/>
    </x:row>
    <x:row r="2" ht="38" customHeight="1">
      <x:c r="A2" s="514" t="str">
        <x:v>内部压力测试，不是可报价价或公开价。只有真人计时、真实成本、10次访谈/3次重复问题、合格客户和逐单批准全部通过后，才可向一名客户私下测试。</x:v>
      </x:c>
      <x:c r="B2" s="514"/>
      <x:c r="C2" s="514"/>
      <x:c r="D2" s="514"/>
      <x:c r="E2" s="514"/>
      <x:c r="F2" s="514"/>
      <x:c r="G2" s="514"/>
      <x:c r="H2" s="514"/>
      <x:c r="I2" s="514"/>
      <x:c r="J2" s="514"/>
    </x:row>
    <x:row r="3">
      <x:c r="A3" s="174"/>
      <x:c r="B3" s="174"/>
      <x:c r="C3" s="174"/>
      <x:c r="D3" s="174"/>
      <x:c r="E3" s="174"/>
      <x:c r="F3" s="174"/>
      <x:c r="G3" s="174"/>
      <x:c r="H3" s="174"/>
      <x:c r="I3" s="174"/>
      <x:c r="J3" s="174"/>
    </x:row>
    <x:row r="4">
      <x:c r="A4" s="517" t="str">
        <x:v>输入与口径｜黄色蓝字为待填写/确认</x:v>
      </x:c>
      <x:c r="B4" s="517"/>
      <x:c r="C4" s="517"/>
      <x:c r="D4" s="517"/>
      <x:c r="E4" s="174"/>
      <x:c r="F4" s="517" t="str">
        <x:v>实时计算结果｜任何 BLOCK 都不得报价</x:v>
      </x:c>
      <x:c r="G4" s="517"/>
      <x:c r="H4" s="517"/>
      <x:c r="I4" s="517"/>
      <x:c r="J4" s="517"/>
    </x:row>
    <x:row r="5" ht="28" customHeight="1">
      <x:c r="A5" s="585" t="str">
        <x:v>当前价格状态</x:v>
      </x:c>
      <x:c r="B5" s="586" t="str">
        <x:v>内部压力测试价｜不可报价/公开</x:v>
      </x:c>
      <x:c r="C5" s="556" t="str">
        <x:v>由 business-ops/19 控制</x:v>
      </x:c>
      <x:c r="D5" s="201"/>
      <x:c r="E5" s="201"/>
      <x:c r="F5" s="585" t="str">
        <x:v>当前决策</x:v>
      </x:c>
      <x:c r="G5" s="557" t="str">
        <x:f>IF(OR(B7="待确认",B10="",B11="",B12&lt;=0,COUNTBLANK(B13:B18)&gt;0),"BLOCK：输入未完整",IF(OR(B10&gt;4.5,B11&gt;4.5),"BLOCK：真人运行超过270分钟",IF(G13&lt;0.65,"BLOCK：现金贡献率低于65%",IF(G15&lt;0.5,"BLOCK：经济贡献率低于50%",IF(B18&lt;G9,"BLOCK：订金不足","单位经济PASS｜仍缺市场与逐单批准")))))</x:f>
        <x:v>BLOCK：输入未完整</x:v>
      </x:c>
      <x:c r="H5" s="556" t="str">
        <x:v>PASS也只表示单位经济；不代表需求已验证</x:v>
      </x:c>
      <x:c r="I5" s="201"/>
      <x:c r="J5" s="201"/>
    </x:row>
    <x:row r="6" ht="28" customHeight="1">
      <x:c r="A6" s="587" t="str">
        <x:v>标示价格 JPY</x:v>
      </x:c>
      <x:c r="B6" s="588" t="n">
        <x:v>50000</x:v>
      </x:c>
      <x:c r="C6" s="560" t="str">
        <x:v>仅作压力测试</x:v>
      </x:c>
      <x:c r="D6" s="201"/>
      <x:c r="E6" s="201"/>
      <x:c r="F6" s="587" t="str">
        <x:v>净服务收入 JPY</x:v>
      </x:c>
      <x:c r="G6" s="589" t="str">
        <x:f>IF(B7="税別",B6,IF(B7="税込",B6/(1+B8),IF(B7="不适用",B6,"")))</x:f>
      </x:c>
      <x:c r="H6" s="560" t="str">
        <x:v>税口径确认后计算</x:v>
      </x:c>
      <x:c r="I6" s="201"/>
      <x:c r="J6" s="201"/>
    </x:row>
    <x:row r="7" ht="28" customHeight="1">
      <x:c r="A7" s="587" t="str">
        <x:v>税口径</x:v>
      </x:c>
      <x:c r="B7" s="590" t="str">
        <x:v>待确认</x:v>
      </x:c>
      <x:c r="C7" s="560" t="str">
        <x:v>税別 / 税込 / 不适用；需按真实主体确认</x:v>
      </x:c>
      <x:c r="D7" s="201"/>
      <x:c r="E7" s="201"/>
      <x:c r="F7" s="587" t="str">
        <x:v>客户含税/实付 JPY</x:v>
      </x:c>
      <x:c r="G7" s="589" t="str">
        <x:f>IF(B7="税別",B6*(1+B8),IF(OR(B7="税込",B7="不适用"),B6,""))</x:f>
      </x:c>
      <x:c r="H7" s="560" t="str">
        <x:v>仅用于规划</x:v>
      </x:c>
      <x:c r="I7" s="201"/>
      <x:c r="J7" s="201"/>
    </x:row>
    <x:row r="8" ht="28" customHeight="1">
      <x:c r="A8" s="587" t="str">
        <x:v>消费税率（敏感性）</x:v>
      </x:c>
      <x:c r="B8" s="591" t="n">
        <x:v>0.1</x:v>
      </x:c>
      <x:c r="C8" s="560" t="str">
        <x:v>只作敏感性，不是税务结论</x:v>
      </x:c>
      <x:c r="D8" s="201"/>
      <x:c r="E8" s="201"/>
      <x:c r="F8" s="587" t="str">
        <x:v>定价压力工时</x:v>
      </x:c>
      <x:c r="G8" s="592" t="str">
        <x:f>IF(OR(B10="",B11=""),"",MAX(5,B10,B11))</x:f>
      </x:c>
      <x:c r="H8" s="560" t="str">
        <x:v>至少按5小时核算</x:v>
      </x:c>
      <x:c r="I8" s="201"/>
      <x:c r="J8" s="201"/>
    </x:row>
    <x:row r="9" ht="28" customHeight="1">
      <x:c r="A9" s="587" t="str">
        <x:v>JPY→CNY规划汇率</x:v>
      </x:c>
      <x:c r="B9" s="593" t="n">
        <x:f>'说明与目标'!$B$10</x:f>
        <x:v>0.05</x:v>
      </x:c>
      <x:c r="C9" s="560" t="str">
        <x:v>链接说明与目标!B10</x:v>
      </x:c>
      <x:c r="D9" s="201"/>
      <x:c r="E9" s="201"/>
      <x:c r="F9" s="587" t="str">
        <x:v>全部现金成本 JPY</x:v>
      </x:c>
      <x:c r="G9" s="589" t="str">
        <x:f>IF(COUNTBLANK(B13:B17)&gt;0,"",SUM(B13:B17))</x:f>
      </x:c>
      <x:c r="H9" s="560" t="str">
        <x:v>B13:B17 必须逐项填写</x:v>
      </x:c>
      <x:c r="I9" s="201"/>
      <x:c r="J9" s="201"/>
    </x:row>
    <x:row r="10" ht="28" customHeight="1">
      <x:c r="A10" s="587" t="str">
        <x:v>运行1真人实测工时</x:v>
      </x:c>
      <x:c r="B10" s="594"/>
      <x:c r="C10" s="560" t="str">
        <x:v>完整流程必须≤4.5小时（270分钟）</x:v>
      </x:c>
      <x:c r="D10" s="201"/>
      <x:c r="E10" s="201"/>
      <x:c r="F10" s="587" t="str">
        <x:v>小时成本 JPY</x:v>
      </x:c>
      <x:c r="G10" s="589" t="str">
        <x:f>IF(OR(B12&lt;=0,B9&lt;=0),"",B12/B9)</x:f>
      </x:c>
      <x:c r="H10" s="560" t="str">
        <x:v>CNY小时成本 ÷ 汇率</x:v>
      </x:c>
      <x:c r="I10" s="201"/>
      <x:c r="J10" s="201"/>
    </x:row>
    <x:row r="11" ht="28" customHeight="1">
      <x:c r="A11" s="587" t="str">
        <x:v>运行2真人实测工时</x:v>
      </x:c>
      <x:c r="B11" s="594"/>
      <x:c r="C11" s="560" t="str">
        <x:v>另一套未见素材；同样≤4.5小时</x:v>
      </x:c>
      <x:c r="D11" s="201"/>
      <x:c r="E11" s="201"/>
      <x:c r="F11" s="587" t="str">
        <x:v>人工成本 JPY</x:v>
      </x:c>
      <x:c r="G11" s="589" t="str">
        <x:f>IF(OR(G8="",G10=""),"",G8*G10)</x:f>
      </x:c>
      <x:c r="H11" s="560" t="str">
        <x:v>压力工时 × 小时成本</x:v>
      </x:c>
      <x:c r="I11" s="201"/>
      <x:c r="J11" s="201"/>
    </x:row>
    <x:row r="12" ht="28" customHeight="1">
      <x:c r="A12" s="587" t="str">
        <x:v>创始人小时成本 CNY</x:v>
      </x:c>
      <x:c r="B12" s="595" t="n">
        <x:f>'说明与目标'!$B$16</x:f>
        <x:v>0</x:v>
      </x:c>
      <x:c r="C12" s="560" t="str">
        <x:v>链接说明与目标!B16；不得为0</x:v>
      </x:c>
      <x:c r="D12" s="201"/>
      <x:c r="E12" s="201"/>
      <x:c r="F12" s="587" t="str">
        <x:v>现金贡献 JPY</x:v>
      </x:c>
      <x:c r="G12" s="596" t="str">
        <x:f>IF(OR(G6="",G9=""),"",G6-G9)</x:f>
      </x:c>
      <x:c r="H12" s="560" t="str">
        <x:v>净收入 - 现金成本</x:v>
      </x:c>
      <x:c r="I12" s="201"/>
      <x:c r="J12" s="201"/>
    </x:row>
    <x:row r="13" ht="28" customHeight="1">
      <x:c r="A13" s="587" t="str">
        <x:v>外部复核/承包成本 JPY</x:v>
      </x:c>
      <x:c r="B13" s="588"/>
      <x:c r="C13" s="560" t="str">
        <x:v>未知不能当0</x:v>
      </x:c>
      <x:c r="D13" s="201"/>
      <x:c r="E13" s="201"/>
      <x:c r="F13" s="587" t="str">
        <x:v>现金贡献率</x:v>
      </x:c>
      <x:c r="G13" s="597" t="str">
        <x:f>IFERROR(G12/G6,"")</x:f>
      </x:c>
      <x:c r="H13" s="560" t="str">
        <x:v>必须≥65%</x:v>
      </x:c>
      <x:c r="I13" s="201"/>
      <x:c r="J13" s="201"/>
    </x:row>
    <x:row r="14" ht="28" customHeight="1">
      <x:c r="A14" s="587" t="str">
        <x:v>工具/API增量成本 JPY</x:v>
      </x:c>
      <x:c r="B14" s="588"/>
      <x:c r="C14" s="560" t="str">
        <x:v>未知不能当0</x:v>
      </x:c>
      <x:c r="D14" s="201"/>
      <x:c r="E14" s="201"/>
      <x:c r="F14" s="587" t="str">
        <x:v>经济贡献 JPY</x:v>
      </x:c>
      <x:c r="G14" s="596" t="str">
        <x:f>IF(OR(G6="",G9="",G11=""),"",G6-G9-G11)</x:f>
      </x:c>
      <x:c r="H14" s="560" t="str">
        <x:v>净收入 - 现金成本 - 人工成本</x:v>
      </x:c>
      <x:c r="I14" s="201"/>
      <x:c r="J14" s="201"/>
    </x:row>
    <x:row r="15" ht="28" customHeight="1">
      <x:c r="A15" s="587" t="str">
        <x:v>获客分摊 JPY</x:v>
      </x:c>
      <x:c r="B15" s="588"/>
      <x:c r="C15" s="560" t="str">
        <x:v>包含实际获客现金成本</x:v>
      </x:c>
      <x:c r="D15" s="201"/>
      <x:c r="E15" s="201"/>
      <x:c r="F15" s="587" t="str">
        <x:v>经济贡献率</x:v>
      </x:c>
      <x:c r="G15" s="597" t="str">
        <x:f>IFERROR(G14/G6,"")</x:f>
      </x:c>
      <x:c r="H15" s="560" t="str">
        <x:v>必须≥50%</x:v>
      </x:c>
      <x:c r="I15" s="201"/>
      <x:c r="J15" s="201"/>
    </x:row>
    <x:row r="16" ht="28" customHeight="1">
      <x:c r="A16" s="587" t="str">
        <x:v>支付/银行/换汇费 JPY</x:v>
      </x:c>
      <x:c r="B16" s="588"/>
      <x:c r="C16" s="560" t="str">
        <x:v>包含真实收款费用</x:v>
      </x:c>
      <x:c r="D16" s="201"/>
      <x:c r="E16" s="201"/>
      <x:c r="F16" s="587" t="str">
        <x:v>最大允许现金成本 JPY</x:v>
      </x:c>
      <x:c r="G16" s="596" t="str">
        <x:f>IF(OR(G6="",G11=""),"",MAX(0,MIN(0.35*G6,0.5*G6-G11)))</x:f>
      </x:c>
      <x:c r="H16" s="560" t="str">
        <x:v>双贡献门共同约束</x:v>
      </x:c>
      <x:c r="I16" s="201"/>
      <x:c r="J16" s="201"/>
    </x:row>
    <x:row r="17" ht="28" customHeight="1">
      <x:c r="A17" s="587" t="str">
        <x:v>其他直接现金成本 JPY</x:v>
      </x:c>
      <x:c r="B17" s="588"/>
      <x:c r="C17" s="560" t="str">
        <x:v>差旅、印刷、退款等</x:v>
      </x:c>
      <x:c r="D17" s="201"/>
      <x:c r="E17" s="201"/>
      <x:c r="F17" s="587" t="str">
        <x:v>最低可行净收入 JPY</x:v>
      </x:c>
      <x:c r="G17" s="596" t="str">
        <x:f>IF(OR(G9="",G11=""),"",MAX(G9/0.35,(G9+G11)/0.5))</x:f>
      </x:c>
      <x:c r="H17" s="560" t="str">
        <x:v>不等于客户愿付价格</x:v>
      </x:c>
      <x:c r="I17" s="201"/>
      <x:c r="J17" s="201"/>
    </x:row>
    <x:row r="18" ht="28" customHeight="1">
      <x:c r="A18" s="587" t="str">
        <x:v>订金 JPY</x:v>
      </x:c>
      <x:c r="B18" s="588"/>
      <x:c r="C18" s="560" t="str">
        <x:v>必须覆盖全部外部现金成本</x:v>
      </x:c>
      <x:c r="D18" s="201"/>
      <x:c r="E18" s="201"/>
      <x:c r="F18" s="587" t="str">
        <x:v>订金覆盖</x:v>
      </x:c>
      <x:c r="G18" s="598" t="str">
        <x:f>IF(OR(B18="",G9=""),"BLOCK：订金/现金成本未填",IF(B18&gt;=G9,"PASS","BLOCK：订金不足"))</x:f>
        <x:v>BLOCK：订金/现金成本未填</x:v>
      </x:c>
      <x:c r="H18" s="560" t="str">
        <x:v>订金必须覆盖现金成本</x:v>
      </x:c>
      <x:c r="I18" s="201"/>
      <x:c r="J18" s="201"/>
    </x:row>
    <x:row r="19" ht="28" customHeight="1">
      <x:c r="A19" s="599" t="str">
        <x:v>税费准备率（敏感性）</x:v>
      </x:c>
      <x:c r="B19" s="600" t="n">
        <x:v>0</x:v>
      </x:c>
      <x:c r="C19" s="566" t="str">
        <x:v>可选规划假设，不是税务结论</x:v>
      </x:c>
      <x:c r="D19" s="201"/>
      <x:c r="E19" s="201"/>
      <x:c r="F19" s="599" t="str">
        <x:v>准备后贡献 JPY</x:v>
      </x:c>
      <x:c r="G19" s="601" t="str">
        <x:f>IF(G14="","",G14-MAX(0,G14)*B19)</x:f>
      </x:c>
      <x:c r="H19" s="566" t="str">
        <x:v>扣除税费准备敏感性</x:v>
      </x:c>
      <x:c r="I19" s="201"/>
      <x:c r="J19" s="201"/>
    </x:row>
    <x:row r="20" ht="28" customHeight="1">
      <x:c r="A20" s="201"/>
      <x:c r="B20" s="201"/>
      <x:c r="C20" s="201"/>
      <x:c r="D20" s="201"/>
      <x:c r="E20" s="201"/>
      <x:c r="F20" s="201"/>
      <x:c r="G20" s="201"/>
      <x:c r="H20" s="201"/>
      <x:c r="I20" s="201"/>
      <x:c r="J20" s="201"/>
    </x:row>
    <x:row r="21" ht="28" customHeight="1">
      <x:c r="A21" s="201"/>
      <x:c r="B21" s="201"/>
      <x:c r="C21" s="201"/>
      <x:c r="D21" s="201"/>
      <x:c r="E21" s="201"/>
      <x:c r="F21" s="201"/>
      <x:c r="G21" s="201"/>
      <x:c r="H21" s="201"/>
      <x:c r="I21" s="201"/>
      <x:c r="J21" s="201"/>
    </x:row>
    <x:row r="22" ht="30" customHeight="1">
      <x:c r="A22" s="602" t="str">
        <x:v>三场景敏感性｜均为内部假设，不证明客户愿意购买</x:v>
      </x:c>
      <x:c r="B22" s="602"/>
      <x:c r="C22" s="602"/>
      <x:c r="D22" s="602"/>
      <x:c r="E22" s="602"/>
      <x:c r="F22" s="602"/>
      <x:c r="G22" s="602"/>
      <x:c r="H22" s="602"/>
      <x:c r="I22" s="602"/>
      <x:c r="J22" s="602"/>
    </x:row>
    <x:row r="23" ht="30" customHeight="1">
      <x:c r="A23" s="531" t="str">
        <x:v>情景</x:v>
      </x:c>
      <x:c r="B23" s="531" t="str">
        <x:v>价格口径</x:v>
      </x:c>
      <x:c r="C23" s="531" t="str">
        <x:v>净收入 JPY</x:v>
      </x:c>
      <x:c r="D23" s="531" t="str">
        <x:v>压力工时</x:v>
      </x:c>
      <x:c r="E23" s="531" t="str">
        <x:v>小时成本 CNY</x:v>
      </x:c>
      <x:c r="F23" s="531" t="str">
        <x:v>现金成本 JPY</x:v>
      </x:c>
      <x:c r="G23" s="531" t="str">
        <x:v>现金贡献率</x:v>
      </x:c>
      <x:c r="H23" s="531" t="str">
        <x:v>经济贡献 JPY</x:v>
      </x:c>
      <x:c r="I23" s="531" t="str">
        <x:v>经济贡献率</x:v>
      </x:c>
      <x:c r="J23" s="531" t="str">
        <x:v>判断</x:v>
      </x:c>
    </x:row>
    <x:row r="24" ht="28" customHeight="1">
      <x:c r="A24" s="603" t="str">
        <x:v>乐观</x:v>
      </x:c>
      <x:c r="B24" s="603" t="str">
        <x:v>税別</x:v>
      </x:c>
      <x:c r="C24" s="604" t="n">
        <x:v>50000</x:v>
      </x:c>
      <x:c r="D24" s="605" t="n">
        <x:v>5</x:v>
      </x:c>
      <x:c r="E24" s="606" t="n">
        <x:v>150</x:v>
      </x:c>
      <x:c r="F24" s="604" t="n">
        <x:v>1000</x:v>
      </x:c>
      <x:c r="G24" s="607" t="n">
        <x:f>IFERROR((C24-F24)/C24,"")</x:f>
        <x:v>0.98</x:v>
      </x:c>
      <x:c r="H24" s="604" t="n">
        <x:f>IF($B$9&lt;=0,"",C24-F24-D24*E24/$B$9)</x:f>
        <x:v>34000</x:v>
      </x:c>
      <x:c r="I24" s="607" t="n">
        <x:f>IFERROR(H24/C24,"")</x:f>
        <x:v>0.68</x:v>
      </x:c>
      <x:c r="J24" s="569" t="str">
        <x:f>IF(D24&gt;5,"BLOCK：超过5小时",IF(G24&lt;0.65,"BLOCK：现金贡献不足",IF(I24&lt;0.5,"BLOCK：经济贡献不足","单位经济可行｜仍未验证需求")))</x:f>
        <x:v>单位经济可行｜仍未验证需求</x:v>
      </x:c>
    </x:row>
    <x:row r="25" ht="28" customHeight="1">
      <x:c r="A25" s="603" t="str">
        <x:v>基准</x:v>
      </x:c>
      <x:c r="B25" s="603" t="str">
        <x:v>税別</x:v>
      </x:c>
      <x:c r="C25" s="604" t="n">
        <x:v>50000</x:v>
      </x:c>
      <x:c r="D25" s="605" t="n">
        <x:v>5</x:v>
      </x:c>
      <x:c r="E25" s="606" t="n">
        <x:v>200</x:v>
      </x:c>
      <x:c r="F25" s="604" t="n">
        <x:v>5000</x:v>
      </x:c>
      <x:c r="G25" s="607" t="n">
        <x:f>IFERROR((C25-F25)/C25,"")</x:f>
        <x:v>0.9</x:v>
      </x:c>
      <x:c r="H25" s="604" t="n">
        <x:f>IF($B$9&lt;=0,"",C25-F25-D25*E25/$B$9)</x:f>
        <x:v>25000</x:v>
      </x:c>
      <x:c r="I25" s="607" t="n">
        <x:f>IFERROR(H25/C25,"")</x:f>
        <x:v>0.5</x:v>
      </x:c>
      <x:c r="J25" s="569" t="str">
        <x:f>IF(D25&gt;5,"BLOCK：超过5小时",IF(G25&lt;0.65,"BLOCK：现金贡献不足",IF(I25&lt;0.5,"BLOCK：经济贡献不足","单位经济可行｜仍未验证需求")))</x:f>
        <x:v>单位经济可行｜仍未验证需求</x:v>
      </x:c>
    </x:row>
    <x:row r="26" ht="28" customHeight="1">
      <x:c r="A26" s="603" t="str">
        <x:v>保守</x:v>
      </x:c>
      <x:c r="B26" s="603" t="str">
        <x:v>税込10%敏感性</x:v>
      </x:c>
      <x:c r="C26" s="604" t="n">
        <x:f>$B$6/(1+$B$8)</x:f>
        <x:v>45454.54545454545</x:v>
      </x:c>
      <x:c r="D26" s="605" t="n">
        <x:v>6</x:v>
      </x:c>
      <x:c r="E26" s="606" t="n">
        <x:v>250</x:v>
      </x:c>
      <x:c r="F26" s="604" t="n">
        <x:v>7500</x:v>
      </x:c>
      <x:c r="G26" s="607" t="n">
        <x:f>IFERROR((C26-F26)/C26,"")</x:f>
        <x:v>0.835</x:v>
      </x:c>
      <x:c r="H26" s="604" t="n">
        <x:f>IF($B$9&lt;=0,"",C26-F26-D26*E26/$B$9)</x:f>
        <x:v>7954.545454545449</x:v>
      </x:c>
      <x:c r="I26" s="607" t="n">
        <x:f>IFERROR(H26/C26,"")</x:f>
        <x:v>0.1749999999999999</x:v>
      </x:c>
      <x:c r="J26" s="569" t="str">
        <x:f>IF(D26&gt;5,"BLOCK：超过5小时",IF(G26&lt;0.65,"BLOCK：现金贡献不足",IF(I26&lt;0.5,"BLOCK：经济贡献不足","单位经济可行｜仍未验证需求")))</x:f>
        <x:v>BLOCK：超过5小时</x:v>
      </x:c>
    </x:row>
  </x:sheetData>
  <x:mergeCells>
    <x:mergeCell ref="A1:J1"/>
    <x:mergeCell ref="A2:J2"/>
    <x:mergeCell ref="A4:D4"/>
    <x:mergeCell ref="F4:J4"/>
    <x:mergeCell ref="A22:J22"/>
  </x:mergeCells>
  <x:dataValidations count="3">
    <x:dataValidation type="list" sqref="B7">
      <x:formula1>"待确认,税別,税込,不适用"</x:formula1>
    </x:dataValidation>
    <x:dataValidation type="decimal" operator="between" sqref="B8">
      <x:formula1>0</x:formula1>
      <x:formula2>1</x:formula2>
    </x:dataValidation>
    <x:dataValidation type="decimal" operator="greaterThanOrEqual" sqref="B10:B19">
      <x:formula1>0</x:formula1>
    </x:dataValidation>
  </x:dataValidations>
  <x:pageMargins left="0.7" right="0.7" top="0.75" bottom="0.75" header="0.3" footer="0.3"/>
</x:worksheet>
</file>